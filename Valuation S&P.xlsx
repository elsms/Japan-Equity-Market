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y828132\Downloads\"/>
    </mc:Choice>
  </mc:AlternateContent>
  <xr:revisionPtr revIDLastSave="0" documentId="8_{47AE48C6-AF38-4B5E-87BF-04D64BBD9E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uatio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2" l="1" a="1"/>
  <c r="K17" i="2" a="1"/>
  <c r="K16" i="2" a="1"/>
  <c r="K11" i="2" a="1"/>
  <c r="K12" i="2" a="1"/>
  <c r="E17" i="2" a="1"/>
  <c r="E12" i="2" a="1"/>
  <c r="E16" i="2" a="1"/>
  <c r="E15" i="2" a="1"/>
  <c r="E11" i="2" a="1"/>
  <c r="S17" i="2" a="1"/>
  <c r="S16" i="2" a="1"/>
  <c r="S15" i="2" a="1"/>
  <c r="S12" i="2" a="1"/>
  <c r="S11" i="2" a="1"/>
  <c r="L21" i="2" a="1"/>
  <c r="L13" i="2" a="1"/>
  <c r="T11" i="2" a="1"/>
  <c r="I12" i="2" a="1"/>
  <c r="I11" i="2" a="1"/>
  <c r="J11" i="2" a="1"/>
  <c r="J16" i="2" a="1"/>
  <c r="J15" i="2" a="1"/>
  <c r="T15" i="2" a="1"/>
  <c r="T12" i="2" a="1"/>
  <c r="I15" i="2" a="1"/>
  <c r="T17" i="2" a="1"/>
  <c r="I17" i="2" a="1"/>
  <c r="I16" i="2" a="1"/>
  <c r="J17" i="2" a="1"/>
  <c r="J12" i="2" a="1"/>
  <c r="T16" i="2" a="1"/>
  <c r="M8" i="2" a="1"/>
  <c r="Q7" i="2" a="1"/>
  <c r="O8" i="2" a="1"/>
  <c r="S19" i="2" a="1"/>
  <c r="N7" i="2" a="1"/>
  <c r="R9" i="2" a="1"/>
  <c r="H7" i="2" a="1"/>
  <c r="T21" i="2" a="1"/>
  <c r="M6" i="2" a="1"/>
  <c r="Q19" i="2" a="1"/>
  <c r="P13" i="2" a="1"/>
  <c r="S20" i="2" a="1"/>
  <c r="N10" i="2" a="1"/>
  <c r="R8" i="2" a="1"/>
  <c r="H21" i="2" a="1"/>
  <c r="T19" i="2" a="1"/>
  <c r="M19" i="2" a="1"/>
  <c r="Q21" i="2" a="1"/>
  <c r="O13" i="2" a="1"/>
  <c r="S9" i="2" a="1"/>
  <c r="R7" i="2" a="1"/>
  <c r="H20" i="2" a="1"/>
  <c r="L6" i="2" a="1"/>
  <c r="M7" i="2" a="1"/>
  <c r="Q6" i="2" a="1"/>
  <c r="P9" i="2" a="1"/>
  <c r="S22" i="2" a="1"/>
  <c r="N13" i="2" a="1"/>
  <c r="R6" i="2" a="1"/>
  <c r="L10" i="2" a="1"/>
  <c r="M9" i="2" a="1"/>
  <c r="Q10" i="2" a="1"/>
  <c r="P10" i="2" a="1"/>
  <c r="S10" i="2" a="1"/>
  <c r="C22" i="2" a="1"/>
  <c r="R20" i="2" a="1"/>
  <c r="H6" i="2" a="1"/>
  <c r="L7" i="2" a="1"/>
  <c r="M22" i="2" a="1"/>
  <c r="P19" i="2" a="1"/>
  <c r="C8" i="2" a="1"/>
  <c r="H8" i="2" a="1"/>
  <c r="L22" i="2" a="1"/>
  <c r="O10" i="2" a="1"/>
  <c r="R21" i="2" a="1"/>
  <c r="L19" i="2" a="1"/>
  <c r="N21" i="2" a="1"/>
  <c r="S6" i="2" a="1"/>
  <c r="C20" i="2" a="1"/>
  <c r="O20" i="2" a="1"/>
  <c r="S13" i="2" a="1"/>
  <c r="C9" i="2" a="1"/>
  <c r="Q13" i="2" a="1"/>
  <c r="P22" i="2" a="1"/>
  <c r="L9" i="2" a="1"/>
  <c r="N22" i="2" a="1"/>
  <c r="T22" i="2" a="1"/>
  <c r="H10" i="2" a="1"/>
  <c r="H22" i="2" a="1"/>
  <c r="S7" i="2" a="1"/>
  <c r="S21" i="2" a="1"/>
  <c r="R13" i="2" a="1"/>
  <c r="M20" i="2" a="1"/>
  <c r="M21" i="2" a="1"/>
  <c r="P8" i="2" a="1"/>
  <c r="C6" i="2" a="1"/>
  <c r="T8" i="2" a="1"/>
  <c r="T6" i="2" a="1"/>
  <c r="P21" i="2" a="1"/>
  <c r="T13" i="2" a="1"/>
  <c r="L20" i="2" a="1"/>
  <c r="T9" i="2" a="1"/>
  <c r="M10" i="2" a="1"/>
  <c r="O6" i="2" a="1"/>
  <c r="N8" i="2" a="1"/>
  <c r="C7" i="2" a="1"/>
  <c r="C21" i="2" a="1"/>
  <c r="N19" i="2" a="1"/>
  <c r="L8" i="2" a="1"/>
  <c r="O22" i="2" a="1"/>
  <c r="N20" i="2" a="1"/>
  <c r="M13" i="2" a="1"/>
  <c r="O7" i="2" a="1"/>
  <c r="P6" i="2" a="1"/>
  <c r="C19" i="2" a="1"/>
  <c r="C13" i="2" a="1"/>
  <c r="T10" i="2" a="1"/>
  <c r="P7" i="2" a="1"/>
  <c r="R22" i="2" a="1"/>
  <c r="P20" i="2" a="1"/>
  <c r="C10" i="2" a="1"/>
  <c r="T20" i="2" a="1"/>
  <c r="H19" i="2" a="1"/>
  <c r="O21" i="2" a="1"/>
  <c r="T7" i="2" a="1"/>
  <c r="Q8" i="2" a="1"/>
  <c r="H9" i="2" a="1"/>
  <c r="Q22" i="2" a="1"/>
  <c r="Q20" i="2" a="1"/>
  <c r="Q9" i="2" a="1"/>
  <c r="O9" i="2" a="1"/>
  <c r="N6" i="2" a="1"/>
  <c r="H13" i="2" a="1"/>
  <c r="S8" i="2" a="1"/>
  <c r="R19" i="2" a="1"/>
  <c r="O19" i="2" a="1"/>
  <c r="R10" i="2" a="1"/>
  <c r="N9" i="2" a="1"/>
  <c r="D13" i="2" a="1"/>
  <c r="E8" i="2" a="1"/>
  <c r="K21" i="2" a="1"/>
  <c r="F21" i="2" a="1"/>
  <c r="G7" i="2" a="1"/>
  <c r="C15" i="2" a="1"/>
  <c r="J19" i="2" a="1"/>
  <c r="R16" i="2" a="1"/>
  <c r="E10" i="2" a="1"/>
  <c r="K8" i="2" a="1"/>
  <c r="F19" i="2" a="1"/>
  <c r="G10" i="2" a="1"/>
  <c r="P11" i="2" a="1"/>
  <c r="R12" i="2" a="1"/>
  <c r="E6" i="2" a="1"/>
  <c r="F6" i="2" a="1"/>
  <c r="G22" i="2" a="1"/>
  <c r="P12" i="2" a="1"/>
  <c r="F16" i="2" a="1"/>
  <c r="E7" i="2" a="1"/>
  <c r="O16" i="2" a="1"/>
  <c r="I13" i="2" a="1"/>
  <c r="C17" i="2" a="1"/>
  <c r="F15" i="2" a="1"/>
  <c r="E19" i="2" a="1"/>
  <c r="O12" i="2" a="1"/>
  <c r="I21" i="2" a="1"/>
  <c r="G21" i="2" a="1"/>
  <c r="C12" i="2" a="1"/>
  <c r="F11" i="2" a="1"/>
  <c r="D9" i="2" a="1"/>
  <c r="E22" i="2" a="1"/>
  <c r="D22" i="2" a="1"/>
  <c r="C11" i="2" a="1"/>
  <c r="D10" i="2" a="1"/>
  <c r="O17" i="2" a="1"/>
  <c r="C16" i="2" a="1"/>
  <c r="D7" i="2" a="1"/>
  <c r="G19" i="2" a="1"/>
  <c r="P15" i="2" a="1"/>
  <c r="D6" i="2" a="1"/>
  <c r="O11" i="2" a="1"/>
  <c r="I22" i="2" a="1"/>
  <c r="P16" i="2" a="1"/>
  <c r="D8" i="2" a="1"/>
  <c r="K6" i="2" a="1"/>
  <c r="O15" i="2" a="1"/>
  <c r="I6" i="2" a="1"/>
  <c r="G8" i="2" a="1"/>
  <c r="J13" i="2" a="1"/>
  <c r="N17" i="2" a="1"/>
  <c r="F17" i="2" a="1"/>
  <c r="M12" i="2" a="1"/>
  <c r="K19" i="2" a="1"/>
  <c r="F9" i="2" a="1"/>
  <c r="I8" i="2" a="1"/>
  <c r="G20" i="2" a="1"/>
  <c r="J7" i="2" a="1"/>
  <c r="F20" i="2" a="1"/>
  <c r="I19" i="2" a="1"/>
  <c r="K13" i="2" a="1"/>
  <c r="J10" i="2" a="1"/>
  <c r="N12" i="2" a="1"/>
  <c r="F7" i="2" a="1"/>
  <c r="J6" i="2" a="1"/>
  <c r="J9" i="2" a="1"/>
  <c r="P17" i="2" a="1"/>
  <c r="D19" i="2" a="1"/>
  <c r="N16" i="2" a="1"/>
  <c r="G6" i="2" a="1"/>
  <c r="N15" i="2" a="1"/>
  <c r="F10" i="2" a="1"/>
  <c r="I7" i="2" a="1"/>
  <c r="M17" i="2" a="1"/>
  <c r="N11" i="2" a="1"/>
  <c r="M16" i="2" a="1"/>
  <c r="D20" i="2" a="1"/>
  <c r="J20" i="2" a="1"/>
  <c r="I20" i="2" a="1"/>
  <c r="E21" i="2" a="1"/>
  <c r="F22" i="2" a="1"/>
  <c r="M15" i="2" a="1"/>
  <c r="J8" i="2" a="1"/>
  <c r="K7" i="2" a="1"/>
  <c r="E20" i="2" a="1"/>
  <c r="K10" i="2" a="1"/>
  <c r="F8" i="2" a="1"/>
  <c r="D21" i="2" a="1"/>
  <c r="K22" i="2" a="1"/>
  <c r="J21" i="2" a="1"/>
  <c r="I9" i="2" a="1"/>
  <c r="E13" i="2" a="1"/>
  <c r="M11" i="2" a="1"/>
  <c r="J22" i="2" a="1"/>
  <c r="E9" i="2" a="1"/>
  <c r="G9" i="2" a="1"/>
  <c r="R17" i="2" a="1"/>
  <c r="K9" i="2" a="1"/>
  <c r="I10" i="2" a="1"/>
  <c r="R11" i="2" a="1"/>
  <c r="F13" i="2" a="1"/>
  <c r="R15" i="2" a="1"/>
  <c r="G13" i="2" a="1"/>
  <c r="K20" i="2" a="1"/>
  <c r="F12" i="2" a="1"/>
  <c r="H17" i="2" a="1"/>
  <c r="H11" i="2" a="1"/>
  <c r="L12" i="2" a="1"/>
  <c r="Q11" i="2" a="1"/>
  <c r="L16" i="2" a="1"/>
  <c r="G11" i="2" a="1"/>
  <c r="L15" i="2" a="1"/>
  <c r="L17" i="2" a="1"/>
  <c r="D11" i="2" a="1"/>
  <c r="G17" i="2" a="1"/>
  <c r="L11" i="2" a="1"/>
  <c r="D12" i="2" a="1"/>
  <c r="H15" i="2" a="1"/>
  <c r="Q12" i="2" a="1"/>
  <c r="Q17" i="2" a="1"/>
  <c r="H16" i="2" a="1"/>
  <c r="H12" i="2" a="1"/>
  <c r="D15" i="2" a="1"/>
  <c r="D16" i="2" a="1"/>
  <c r="G16" i="2" a="1"/>
  <c r="G12" i="2" a="1"/>
  <c r="G15" i="2" a="1"/>
  <c r="Q15" i="2" a="1"/>
  <c r="D17" i="2" a="1"/>
  <c r="Q16" i="2" a="1"/>
  <c r="K12" i="2" l="1"/>
  <c r="K11" i="2"/>
  <c r="K16" i="2"/>
  <c r="K17" i="2"/>
  <c r="K15" i="2"/>
  <c r="E11" i="2"/>
  <c r="E15" i="2"/>
  <c r="E16" i="2"/>
  <c r="E12" i="2"/>
  <c r="E17" i="2"/>
  <c r="S11" i="2"/>
  <c r="S12" i="2"/>
  <c r="S15" i="2"/>
  <c r="S16" i="2"/>
  <c r="S17" i="2"/>
  <c r="T16" i="2"/>
  <c r="J12" i="2"/>
  <c r="J17" i="2"/>
  <c r="I16" i="2"/>
  <c r="I17" i="2"/>
  <c r="T17" i="2"/>
  <c r="I15" i="2"/>
  <c r="T12" i="2"/>
  <c r="T15" i="2"/>
  <c r="J15" i="2"/>
  <c r="J16" i="2"/>
  <c r="J11" i="2"/>
  <c r="I11" i="2"/>
  <c r="I12" i="2"/>
  <c r="T11" i="2"/>
  <c r="L13" i="2"/>
  <c r="L21" i="2"/>
  <c r="N9" i="2"/>
  <c r="R10" i="2"/>
  <c r="O19" i="2"/>
  <c r="R19" i="2"/>
  <c r="S8" i="2"/>
  <c r="H13" i="2"/>
  <c r="N6" i="2"/>
  <c r="O9" i="2"/>
  <c r="Q9" i="2"/>
  <c r="Q20" i="2"/>
  <c r="Q22" i="2"/>
  <c r="H9" i="2"/>
  <c r="Q8" i="2"/>
  <c r="T7" i="2"/>
  <c r="O21" i="2"/>
  <c r="H19" i="2"/>
  <c r="T20" i="2"/>
  <c r="C10" i="2"/>
  <c r="P20" i="2"/>
  <c r="R22" i="2"/>
  <c r="P7" i="2"/>
  <c r="T10" i="2"/>
  <c r="C13" i="2"/>
  <c r="C19" i="2"/>
  <c r="P6" i="2"/>
  <c r="O7" i="2"/>
  <c r="M13" i="2"/>
  <c r="N20" i="2"/>
  <c r="O22" i="2"/>
  <c r="L8" i="2"/>
  <c r="N19" i="2"/>
  <c r="C21" i="2"/>
  <c r="C7" i="2"/>
  <c r="N8" i="2"/>
  <c r="O6" i="2"/>
  <c r="M10" i="2"/>
  <c r="T9" i="2"/>
  <c r="L20" i="2"/>
  <c r="T13" i="2"/>
  <c r="P21" i="2"/>
  <c r="T6" i="2"/>
  <c r="T8" i="2"/>
  <c r="C6" i="2"/>
  <c r="P8" i="2"/>
  <c r="M21" i="2"/>
  <c r="M20" i="2"/>
  <c r="R13" i="2"/>
  <c r="S21" i="2"/>
  <c r="S7" i="2"/>
  <c r="H22" i="2"/>
  <c r="H10" i="2"/>
  <c r="T22" i="2"/>
  <c r="N22" i="2"/>
  <c r="L9" i="2"/>
  <c r="P22" i="2"/>
  <c r="Q13" i="2"/>
  <c r="C9" i="2"/>
  <c r="S13" i="2"/>
  <c r="O20" i="2"/>
  <c r="C20" i="2"/>
  <c r="S6" i="2"/>
  <c r="N21" i="2"/>
  <c r="L19" i="2"/>
  <c r="R21" i="2"/>
  <c r="O10" i="2"/>
  <c r="L22" i="2"/>
  <c r="H8" i="2"/>
  <c r="C8" i="2"/>
  <c r="P19" i="2"/>
  <c r="M22" i="2"/>
  <c r="L7" i="2"/>
  <c r="H6" i="2"/>
  <c r="R20" i="2"/>
  <c r="C22" i="2"/>
  <c r="S10" i="2"/>
  <c r="P10" i="2"/>
  <c r="Q10" i="2"/>
  <c r="M9" i="2"/>
  <c r="L10" i="2"/>
  <c r="R6" i="2"/>
  <c r="N13" i="2"/>
  <c r="S22" i="2"/>
  <c r="P9" i="2"/>
  <c r="Q6" i="2"/>
  <c r="M7" i="2"/>
  <c r="L6" i="2"/>
  <c r="H20" i="2"/>
  <c r="R7" i="2"/>
  <c r="S9" i="2"/>
  <c r="O13" i="2"/>
  <c r="Q21" i="2"/>
  <c r="M19" i="2"/>
  <c r="T19" i="2"/>
  <c r="H21" i="2"/>
  <c r="R8" i="2"/>
  <c r="N10" i="2"/>
  <c r="S20" i="2"/>
  <c r="P13" i="2"/>
  <c r="Q19" i="2"/>
  <c r="M6" i="2"/>
  <c r="T21" i="2"/>
  <c r="H7" i="2"/>
  <c r="R9" i="2"/>
  <c r="N7" i="2"/>
  <c r="S19" i="2"/>
  <c r="O8" i="2"/>
  <c r="Q7" i="2"/>
  <c r="M8" i="2"/>
  <c r="F12" i="2"/>
  <c r="K20" i="2"/>
  <c r="G13" i="2"/>
  <c r="R15" i="2"/>
  <c r="F13" i="2"/>
  <c r="R11" i="2"/>
  <c r="I10" i="2"/>
  <c r="K9" i="2"/>
  <c r="R17" i="2"/>
  <c r="G9" i="2"/>
  <c r="E9" i="2"/>
  <c r="J22" i="2"/>
  <c r="M11" i="2"/>
  <c r="E13" i="2"/>
  <c r="I9" i="2"/>
  <c r="J21" i="2"/>
  <c r="K22" i="2"/>
  <c r="D21" i="2"/>
  <c r="F8" i="2"/>
  <c r="K10" i="2"/>
  <c r="E20" i="2"/>
  <c r="K7" i="2"/>
  <c r="J8" i="2"/>
  <c r="M15" i="2"/>
  <c r="F22" i="2"/>
  <c r="E21" i="2"/>
  <c r="I20" i="2"/>
  <c r="J20" i="2"/>
  <c r="D20" i="2"/>
  <c r="M16" i="2"/>
  <c r="N11" i="2"/>
  <c r="M17" i="2"/>
  <c r="I7" i="2"/>
  <c r="F10" i="2"/>
  <c r="N15" i="2"/>
  <c r="G6" i="2"/>
  <c r="N16" i="2"/>
  <c r="D19" i="2"/>
  <c r="P17" i="2"/>
  <c r="J9" i="2"/>
  <c r="J6" i="2"/>
  <c r="F7" i="2"/>
  <c r="N12" i="2"/>
  <c r="J10" i="2"/>
  <c r="K13" i="2"/>
  <c r="I19" i="2"/>
  <c r="F20" i="2"/>
  <c r="J7" i="2"/>
  <c r="G20" i="2"/>
  <c r="I8" i="2"/>
  <c r="F9" i="2"/>
  <c r="K19" i="2"/>
  <c r="M12" i="2"/>
  <c r="F17" i="2"/>
  <c r="N17" i="2"/>
  <c r="J13" i="2"/>
  <c r="G8" i="2"/>
  <c r="I6" i="2"/>
  <c r="O15" i="2"/>
  <c r="K6" i="2"/>
  <c r="D8" i="2"/>
  <c r="P16" i="2"/>
  <c r="I22" i="2"/>
  <c r="O11" i="2"/>
  <c r="D6" i="2"/>
  <c r="P15" i="2"/>
  <c r="G19" i="2"/>
  <c r="D7" i="2"/>
  <c r="C16" i="2"/>
  <c r="O17" i="2"/>
  <c r="D10" i="2"/>
  <c r="C11" i="2"/>
  <c r="D22" i="2"/>
  <c r="E22" i="2"/>
  <c r="D9" i="2"/>
  <c r="F11" i="2"/>
  <c r="C12" i="2"/>
  <c r="G21" i="2"/>
  <c r="I21" i="2"/>
  <c r="O12" i="2"/>
  <c r="E19" i="2"/>
  <c r="F15" i="2"/>
  <c r="C17" i="2"/>
  <c r="I13" i="2"/>
  <c r="O16" i="2"/>
  <c r="E7" i="2"/>
  <c r="F16" i="2"/>
  <c r="P12" i="2"/>
  <c r="G22" i="2"/>
  <c r="F6" i="2"/>
  <c r="E6" i="2"/>
  <c r="R12" i="2"/>
  <c r="P11" i="2"/>
  <c r="G10" i="2"/>
  <c r="F19" i="2"/>
  <c r="K8" i="2"/>
  <c r="E10" i="2"/>
  <c r="R16" i="2"/>
  <c r="J19" i="2"/>
  <c r="C15" i="2"/>
  <c r="G7" i="2"/>
  <c r="F21" i="2"/>
  <c r="K21" i="2"/>
  <c r="E8" i="2"/>
  <c r="D13" i="2"/>
  <c r="Q16" i="2"/>
  <c r="D17" i="2"/>
  <c r="Q15" i="2"/>
  <c r="G15" i="2"/>
  <c r="G12" i="2"/>
  <c r="G16" i="2"/>
  <c r="D16" i="2"/>
  <c r="D15" i="2"/>
  <c r="H12" i="2"/>
  <c r="H16" i="2"/>
  <c r="Q17" i="2"/>
  <c r="Q12" i="2"/>
  <c r="H15" i="2"/>
  <c r="D12" i="2"/>
  <c r="L11" i="2"/>
  <c r="G17" i="2"/>
  <c r="D11" i="2"/>
  <c r="L17" i="2"/>
  <c r="L15" i="2"/>
  <c r="G11" i="2"/>
  <c r="L16" i="2"/>
  <c r="Q11" i="2"/>
  <c r="L12" i="2"/>
  <c r="H11" i="2"/>
  <c r="H1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<sst xmlns="http://schemas.openxmlformats.org/spreadsheetml/2006/main" count="74" uniqueCount="74">
  <si>
    <t>S&amp;P 500 INDEX (SPX) - Valuation</t>
  </si>
  <si>
    <t>CY 2007</t>
  </si>
  <si>
    <t>CY 2008</t>
  </si>
  <si>
    <t>CY 2009</t>
  </si>
  <si>
    <t>CY 2010</t>
  </si>
  <si>
    <t>CY 2011</t>
  </si>
  <si>
    <t>CY 2012</t>
  </si>
  <si>
    <t>CY 2013</t>
  </si>
  <si>
    <t>CY 2014</t>
  </si>
  <si>
    <t>CY 2015</t>
  </si>
  <si>
    <t>CY 2016</t>
  </si>
  <si>
    <t>CY 2017</t>
  </si>
  <si>
    <t>CY 2018</t>
  </si>
  <si>
    <t>CY 2019</t>
  </si>
  <si>
    <t>CY 2020</t>
  </si>
  <si>
    <t>CY 2021</t>
  </si>
  <si>
    <t>CY 2022</t>
  </si>
  <si>
    <t>CY 2023</t>
  </si>
  <si>
    <t>CY 2024</t>
  </si>
  <si>
    <t>CY 2025 Est</t>
  </si>
  <si>
    <t>CY 2026 Est</t>
  </si>
  <si>
    <t>12 Months Ending</t>
  </si>
  <si>
    <t>12/31/2007</t>
  </si>
  <si>
    <t>12/31/2008</t>
  </si>
  <si>
    <t>12/31/2009</t>
  </si>
  <si>
    <t>12/31/2010</t>
  </si>
  <si>
    <t>12/30/2011</t>
  </si>
  <si>
    <t>12/31/2012</t>
  </si>
  <si>
    <t>12/31/2013</t>
  </si>
  <si>
    <t>12/31/2014</t>
  </si>
  <si>
    <t>12/31/2015</t>
  </si>
  <si>
    <t>12/30/2016</t>
  </si>
  <si>
    <t>12/29/2017</t>
  </si>
  <si>
    <t>12/31/2018</t>
  </si>
  <si>
    <t>12/31/2019</t>
  </si>
  <si>
    <t>12/31/2020</t>
  </si>
  <si>
    <t>12/31/2021</t>
  </si>
  <si>
    <t>12/30/2022</t>
  </si>
  <si>
    <t>12/29/2023</t>
  </si>
  <si>
    <t>12/31/2024</t>
  </si>
  <si>
    <t>12/31/2025</t>
  </si>
  <si>
    <t>12/31/2026</t>
  </si>
  <si>
    <t>Price/Earnings</t>
  </si>
  <si>
    <t>PE_RATIO</t>
  </si>
  <si>
    <t>Price/Earnings before XO</t>
  </si>
  <si>
    <t>PE_BEF_XO_AGGTE</t>
  </si>
  <si>
    <t>Price/Earnings, Dil. Cont Ops</t>
  </si>
  <si>
    <t>T12M_DIL_PE_CONT_OPS</t>
  </si>
  <si>
    <t>Price/Earnings before XO, Positive</t>
  </si>
  <si>
    <t>PX_POS_EARN_BEFORE_XO_ITEMS</t>
  </si>
  <si>
    <t>Price/Cash Flow</t>
  </si>
  <si>
    <t>PX_TO_CASH_FLOW</t>
  </si>
  <si>
    <t>Price/Sales</t>
  </si>
  <si>
    <t>PX_TO_SALES_RATIO</t>
  </si>
  <si>
    <t>Price/EBITDA</t>
  </si>
  <si>
    <t>PX_TO_EBITDA</t>
  </si>
  <si>
    <t>Price/Book Value</t>
  </si>
  <si>
    <t>PX_TO_BOOK_RATIO</t>
  </si>
  <si>
    <t>EV/Sales</t>
  </si>
  <si>
    <t>CURRENT_EV_TO_12M_SALES</t>
  </si>
  <si>
    <t>EV/EBIT</t>
  </si>
  <si>
    <t>CURRENT_EV_TO_T12M_EBIT</t>
  </si>
  <si>
    <t>EV/EBITDA</t>
  </si>
  <si>
    <t>CURRENT_EV_TO_T12M_EBITDA</t>
  </si>
  <si>
    <t>Dividend Yield</t>
  </si>
  <si>
    <t>EQY_DVD_YLD_12M</t>
  </si>
  <si>
    <t>Dividend Yield (Gross)</t>
  </si>
  <si>
    <t>GROSS_AGGTE_DVD_YLD</t>
  </si>
  <si>
    <t>Dividend Yield (Net)</t>
  </si>
  <si>
    <t>NET_AGGTE_DVD_YLD</t>
  </si>
  <si>
    <t>Free Cash Flow Yield</t>
  </si>
  <si>
    <t>FREE_CASH_FLOW_YIELD</t>
  </si>
  <si>
    <t>Source: Bloomberg</t>
  </si>
  <si>
    <t>Right click to show data transparency (not supported for all values)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</si>
</sst>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3">
    <xf numFmtId="0" fontId="0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0" fontId="25" fillId="12" borderId="0" applyNumberFormat="0" applyBorder="0" applyAlignment="0" applyProtection="0"/>
    <xf numFmtId="0" fontId="25" fillId="16" borderId="0" applyNumberFormat="0" applyBorder="0" applyAlignment="0" applyProtection="0"/>
    <xf numFmtId="0" fontId="25" fillId="20" borderId="0" applyNumberFormat="0" applyBorder="0" applyAlignment="0" applyProtection="0"/>
    <xf numFmtId="0" fontId="25" fillId="24" borderId="0" applyNumberFormat="0" applyBorder="0" applyAlignment="0" applyProtection="0"/>
    <xf numFmtId="0" fontId="25" fillId="28" borderId="0" applyNumberFormat="0" applyBorder="0" applyAlignment="0" applyProtection="0"/>
    <xf numFmtId="0" fontId="25" fillId="32" borderId="0" applyNumberFormat="0" applyBorder="0" applyAlignment="0" applyProtection="0"/>
    <xf numFmtId="0" fontId="25" fillId="9" borderId="0" applyNumberFormat="0" applyBorder="0" applyAlignment="0" applyProtection="0"/>
    <xf numFmtId="0" fontId="25" fillId="13" borderId="0" applyNumberFormat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15" fillId="3" borderId="0" applyNumberFormat="0" applyBorder="0" applyAlignment="0" applyProtection="0"/>
    <xf numFmtId="0" fontId="2" fillId="33" borderId="0"/>
    <xf numFmtId="0" fontId="19" fillId="6" borderId="9" applyNumberFormat="0" applyAlignment="0" applyProtection="0"/>
    <xf numFmtId="0" fontId="21" fillId="7" borderId="12" applyNumberFormat="0" applyAlignment="0" applyProtection="0"/>
    <xf numFmtId="0" fontId="23" fillId="0" borderId="0" applyNumberFormat="0" applyFill="0" applyBorder="0" applyAlignment="0" applyProtection="0"/>
    <xf numFmtId="0" fontId="6" fillId="33" borderId="1">
      <alignment horizontal="right"/>
    </xf>
    <xf numFmtId="0" fontId="5" fillId="34" borderId="0" applyNumberFormat="0" applyBorder="0" applyProtection="0">
      <alignment horizontal="center"/>
    </xf>
    <xf numFmtId="0" fontId="6" fillId="33" borderId="3">
      <alignment horizontal="right"/>
    </xf>
    <xf numFmtId="0" fontId="6" fillId="33" borderId="3">
      <alignment horizontal="left"/>
    </xf>
    <xf numFmtId="0" fontId="8" fillId="35" borderId="4" applyNumberFormat="0" applyAlignment="0" applyProtection="0"/>
    <xf numFmtId="0" fontId="7" fillId="34" borderId="5"/>
    <xf numFmtId="0" fontId="14" fillId="2" borderId="0" applyNumberFormat="0" applyBorder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3" fillId="0" borderId="0" applyNumberFormat="0" applyFill="0" applyBorder="0" applyAlignment="0" applyProtection="0"/>
    <xf numFmtId="0" fontId="17" fillId="5" borderId="9" applyNumberFormat="0" applyAlignment="0" applyProtection="0"/>
    <xf numFmtId="0" fontId="20" fillId="0" borderId="11" applyNumberFormat="0" applyFill="0" applyAlignment="0" applyProtection="0"/>
    <xf numFmtId="0" fontId="16" fillId="4" borderId="0" applyNumberFormat="0" applyBorder="0" applyAlignment="0" applyProtection="0"/>
    <xf numFmtId="0" fontId="9" fillId="8" borderId="13" applyNumberFormat="0" applyFont="0" applyAlignment="0" applyProtection="0"/>
    <xf numFmtId="0" fontId="18" fillId="6" borderId="10" applyNumberFormat="0" applyAlignment="0" applyProtection="0"/>
    <xf numFmtId="0" fontId="10" fillId="0" borderId="0" applyNumberFormat="0" applyFill="0" applyBorder="0" applyAlignment="0" applyProtection="0"/>
    <xf numFmtId="0" fontId="24" fillId="0" borderId="14" applyNumberFormat="0" applyFill="0" applyAlignment="0" applyProtection="0"/>
    <xf numFmtId="0" fontId="22" fillId="0" borderId="0" applyNumberFormat="0" applyFill="0" applyBorder="0" applyAlignment="0" applyProtection="0"/>
    <xf numFmtId="0" fontId="4" fillId="33" borderId="15" applyNumberFormat="0" applyProtection="0">
      <alignment horizontal="left" vertical="center" readingOrder="1"/>
    </xf>
    <xf numFmtId="0" fontId="6" fillId="33" borderId="1">
      <alignment horizontal="left"/>
    </xf>
    <xf numFmtId="3" fontId="1" fillId="34" borderId="2">
      <alignment horizontal="right"/>
    </xf>
    <xf numFmtId="4" fontId="1" fillId="34" borderId="2">
      <alignment horizontal="right"/>
    </xf>
  </cellStyleXfs>
  <cellXfs count="12">
    <xf numFmtId="0" fontId="0" fillId="0" borderId="0" xfId="0"/>
    <xf numFmtId="0" fontId="2" fillId="33" borderId="0" xfId="26"/>
    <xf numFmtId="0" fontId="5" fillId="34" borderId="0" xfId="31">
      <alignment horizontal="center"/>
    </xf>
    <xf numFmtId="0" fontId="6" fillId="33" borderId="3" xfId="33">
      <alignment horizontal="left"/>
    </xf>
    <xf numFmtId="0" fontId="6" fillId="33" borderId="3" xfId="32">
      <alignment horizontal="right"/>
    </xf>
    <xf numFmtId="0" fontId="6" fillId="33" borderId="1" xfId="30">
      <alignment horizontal="right"/>
    </xf>
    <xf numFmtId="0" fontId="8" fillId="35" borderId="4" xfId="34"/>
    <xf numFmtId="0" fontId="4" fillId="33" borderId="15" xfId="49">
      <alignment horizontal="left" vertical="center" readingOrder="1"/>
    </xf>
    <xf numFmtId="0" fontId="6" fillId="33" borderId="1" xfId="50">
      <alignment horizontal="left"/>
    </xf>
    <xf numFmtId="0" fontId="3" fillId="34" borderId="5" xfId="35" applyFont="1"/>
    <xf numFmtId="3" fontId="1" fillId="34" borderId="2" xfId="51">
      <alignment horizontal="right"/>
    </xf>
    <xf numFmtId="4" fontId="1" fillId="34" borderId="2" xfId="52">
      <alignment horizontal="right"/>
    </xf>
  </cellXfs>
  <cellStyles count="5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49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0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standard_0_grouped" xfId="51" xr:uid="{00000000-0005-0000-0000-000023000000}"/>
    <cellStyle name="fa_data_standard_2_grouped" xfId="52" xr:uid="{00000000-0005-0000-0000-000024000000}"/>
    <cellStyle name="fa_footer_italic" xfId="34" xr:uid="{00000000-0005-0000-0000-000025000000}"/>
    <cellStyle name="fa_row_header_standard" xfId="35" xr:uid="{00000000-0005-0000-0000-000026000000}"/>
    <cellStyle name="Good" xfId="36" builtinId="26" customBuiltin="1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Title" xfId="46" builtinId="15" customBuiltin="1"/>
    <cellStyle name="Total" xfId="47" builtinId="25" customBuiltin="1"/>
    <cellStyle name="Warning Text" xfId="48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abSelected="1" workbookViewId="0"/>
  </sheetViews>
  <sheetFormatPr defaultRowHeight="15"/>
  <cols>
    <col min="1" max="1" width="35.140625" customWidth="1"/>
    <col min="2" max="2" width="0" hidden="1" customWidth="1"/>
    <col min="3" max="22" width="13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3"/>
      <c r="B4" s="3"/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14</v>
      </c>
      <c r="Q4" s="4" t="s">
        <v>15</v>
      </c>
      <c r="R4" s="4" t="s">
        <v>16</v>
      </c>
      <c r="S4" s="4" t="s">
        <v>17</v>
      </c>
      <c r="T4" s="4" t="s">
        <v>18</v>
      </c>
      <c r="U4" s="4" t="s">
        <v>19</v>
      </c>
      <c r="V4" s="4" t="s">
        <v>20</v>
      </c>
    </row>
    <row r="5" spans="1:22">
      <c r="A5" s="8" t="s">
        <v>21</v>
      </c>
      <c r="B5" s="8"/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27</v>
      </c>
      <c r="I5" s="5" t="s">
        <v>28</v>
      </c>
      <c r="J5" s="5" t="s">
        <v>29</v>
      </c>
      <c r="K5" s="5" t="s">
        <v>30</v>
      </c>
      <c r="L5" s="5" t="s">
        <v>31</v>
      </c>
      <c r="M5" s="5" t="s">
        <v>32</v>
      </c>
      <c r="N5" s="5" t="s">
        <v>33</v>
      </c>
      <c r="O5" s="5" t="s">
        <v>34</v>
      </c>
      <c r="P5" s="5" t="s">
        <v>35</v>
      </c>
      <c r="Q5" s="5" t="s">
        <v>36</v>
      </c>
      <c r="R5" s="5" t="s">
        <v>37</v>
      </c>
      <c r="S5" s="5" t="s">
        <v>38</v>
      </c>
      <c r="T5" s="5" t="s">
        <v>39</v>
      </c>
      <c r="U5" s="5" t="s">
        <v>40</v>
      </c>
      <c r="V5" s="5" t="s">
        <v>41</v>
      </c>
    </row>
    <row r="6" spans="1:22">
      <c r="A6" s="9" t="s">
        <v>42</v>
      </c>
      <c r="B6" s="9" t="s">
        <v>43</v>
      </c>
      <c r="C6" s="11" cm="1">
        <f t="array" ref="C6">_xll.BDH("SPX Index","PE_RATIO","CY 2007","CY 2007","Currency=USD","Period=CY","FUND_PER=Y","BEST_FPERIOD_OVERRIDE=1GY","Sort=A","Dates=H","DateFormat=P","Fill=—","Direction=H","UseDPDF=Y")</f>
        <v>15.983499999999999</v>
      </c>
      <c r="D6" s="11" cm="1">
        <f t="array" ref="D6">_xll.BDH("SPX Index","PE_RATIO","CY 2008","CY 2008","Currency=USD","Period=CY","FUND_PER=Y","BEST_FPERIOD_OVERRIDE=1GY","Sort=A","Dates=H","DateFormat=P","Fill=—","Direction=H","UseDPDF=Y")</f>
        <v>11.6031</v>
      </c>
      <c r="E6" s="11" cm="1">
        <f t="array" ref="E6">_xll.BDH("SPX Index","PE_RATIO","CY 2009","CY 2009","Currency=USD","Period=CY","FUND_PER=Y","BEST_FPERIOD_OVERRIDE=1GY","Sort=A","Dates=H","DateFormat=P","Fill=—","Direction=H","UseDPDF=Y")</f>
        <v>20.520700000000001</v>
      </c>
      <c r="F6" s="11" cm="1">
        <f t="array" ref="F6">_xll.BDH("SPX Index","PE_RATIO","CY 2010","CY 2010","Currency=USD","Period=CY","FUND_PER=Y","BEST_FPERIOD_OVERRIDE=1GY","Sort=A","Dates=H","DateFormat=P","Fill=—","Direction=H","UseDPDF=Y")</f>
        <v>15.7841</v>
      </c>
      <c r="G6" s="11" cm="1">
        <f t="array" ref="G6">_xll.BDH("SPX Index","PE_RATIO","CY 2011","CY 2011","Currency=USD","Period=CY","FUND_PER=Y","BEST_FPERIOD_OVERRIDE=1GY","Sort=A","Dates=H","DateFormat=P","Fill=—","Direction=H","UseDPDF=Y")</f>
        <v>13.8104</v>
      </c>
      <c r="H6" s="11" cm="1">
        <f t="array" ref="H6">_xll.BDH("SPX Index","PE_RATIO","CY 2012","CY 2012","Currency=USD","Period=CY","FUND_PER=Y","BEST_FPERIOD_OVERRIDE=1GY","Sort=A","Dates=H","DateFormat=P","Fill=—","Direction=H","UseDPDF=Y")</f>
        <v>14.307</v>
      </c>
      <c r="I6" s="11" cm="1">
        <f t="array" ref="I6">_xll.BDH("SPX Index","PE_RATIO","CY 2013","CY 2013","Currency=USD","Period=CY","FUND_PER=Y","BEST_FPERIOD_OVERRIDE=1GY","Sort=A","Dates=H","DateFormat=P","Fill=—","Direction=H","UseDPDF=Y")</f>
        <v>16.474699999999999</v>
      </c>
      <c r="J6" s="11" cm="1">
        <f t="array" ref="J6">_xll.BDH("SPX Index","PE_RATIO","CY 2014","CY 2014","Currency=USD","Period=CY","FUND_PER=Y","BEST_FPERIOD_OVERRIDE=1GY","Sort=A","Dates=H","DateFormat=P","Fill=—","Direction=H","UseDPDF=Y")</f>
        <v>17.861699999999999</v>
      </c>
      <c r="K6" s="11" cm="1">
        <f t="array" ref="K6">_xll.BDH("SPX Index","PE_RATIO","CY 2015","CY 2015","Currency=USD","Period=CY","FUND_PER=Y","BEST_FPERIOD_OVERRIDE=1GY","Sort=A","Dates=H","DateFormat=P","Fill=—","Direction=H","UseDPDF=Y")</f>
        <v>18.046399999999998</v>
      </c>
      <c r="L6" s="11" cm="1">
        <f t="array" ref="L6">_xll.BDH("SPX Index","PE_RATIO","CY 2016","CY 2016","Currency=USD","Period=CY","FUND_PER=Y","BEST_FPERIOD_OVERRIDE=1GY","Sort=A","Dates=H","DateFormat=P","Fill=—","Direction=H","UseDPDF=Y")</f>
        <v>20.561900000000001</v>
      </c>
      <c r="M6" s="11" cm="1">
        <f t="array" ref="M6">_xll.BDH("SPX Index","PE_RATIO","CY 2017","CY 2017","Currency=USD","Period=CY","FUND_PER=Y","BEST_FPERIOD_OVERRIDE=1GY","Sort=A","Dates=H","DateFormat=P","Fill=—","Direction=H","UseDPDF=Y")</f>
        <v>21.997800000000002</v>
      </c>
      <c r="N6" s="11" cm="1">
        <f t="array" ref="N6">_xll.BDH("SPX Index","PE_RATIO","CY 2018","CY 2018","Currency=USD","Period=CY","FUND_PER=Y","BEST_FPERIOD_OVERRIDE=1GY","Sort=A","Dates=H","DateFormat=P","Fill=—","Direction=H","UseDPDF=Y")</f>
        <v>16.712800000000001</v>
      </c>
      <c r="O6" s="11" cm="1">
        <f t="array" ref="O6">_xll.BDH("SPX Index","PE_RATIO","CY 2019","CY 2019","Currency=USD","Period=CY","FUND_PER=Y","BEST_FPERIOD_OVERRIDE=1GY","Sort=A","Dates=H","DateFormat=P","Fill=—","Direction=H","UseDPDF=Y")</f>
        <v>21.127700000000001</v>
      </c>
      <c r="P6" s="11" cm="1">
        <f t="array" ref="P6">_xll.BDH("SPX Index","PE_RATIO","CY 2020","CY 2020","Currency=USD","Period=CY","FUND_PER=Y","BEST_FPERIOD_OVERRIDE=1GY","Sort=A","Dates=H","DateFormat=P","Fill=—","Direction=H","UseDPDF=Y")</f>
        <v>28.791699999999999</v>
      </c>
      <c r="Q6" s="11" cm="1">
        <f t="array" ref="Q6">_xll.BDH("SPX Index","PE_RATIO","CY 2021","CY 2021","Currency=USD","Period=CY","FUND_PER=Y","BEST_FPERIOD_OVERRIDE=1GY","Sort=A","Dates=H","DateFormat=P","Fill=—","Direction=H","UseDPDF=Y")</f>
        <v>25.970400000000001</v>
      </c>
      <c r="R6" s="11" cm="1">
        <f t="array" ref="R6">_xll.BDH("SPX Index","PE_RATIO","CY 2022","CY 2022","Currency=USD","Period=CY","FUND_PER=Y","BEST_FPERIOD_OVERRIDE=1GY","Sort=A","Dates=H","DateFormat=P","Fill=—","Direction=H","UseDPDF=Y")</f>
        <v>18.2394</v>
      </c>
      <c r="S6" s="11" cm="1">
        <f t="array" ref="S6">_xll.BDH("SPX Index","PE_RATIO","CY 2023","CY 2023","Currency=USD","Period=CY","FUND_PER=Y","BEST_FPERIOD_OVERRIDE=1GY","Sort=A","Dates=H","DateFormat=P","Fill=—","Direction=H","UseDPDF=Y")</f>
        <v>22.765000000000001</v>
      </c>
      <c r="T6" s="11" cm="1">
        <f t="array" ref="T6">_xll.BDH("SPX Index","PE_RATIO","CY 2024","CY 2024","Currency=USD","Period=CY","FUND_PER=Y","BEST_FPERIOD_OVERRIDE=1GY","Sort=A","Dates=H","DateFormat=P","Fill=—","Direction=H","UseDPDF=Y")</f>
        <v>26.417899999999999</v>
      </c>
      <c r="U6" s="11">
        <v>25.755889278704601</v>
      </c>
      <c r="V6" s="11">
        <v>22.208248200798501</v>
      </c>
    </row>
    <row r="7" spans="1:22">
      <c r="A7" s="9" t="s">
        <v>44</v>
      </c>
      <c r="B7" s="9" t="s">
        <v>45</v>
      </c>
      <c r="C7" s="11" cm="1">
        <f t="array" ref="C7">_xll.BDH("SPX Index","PE_BEF_XO_AGGTE","CY 2007","CY 2007","Currency=USD","Period=CY","FUND_PER=Y","BEST_FPERIOD_OVERRIDE=1GY","Sort=A","Dates=H","DateFormat=P","Fill=—","Direction=H","UseDPDF=Y")</f>
        <v>17.830300000000001</v>
      </c>
      <c r="D7" s="11" cm="1">
        <f t="array" ref="D7">_xll.BDH("SPX Index","PE_BEF_XO_AGGTE","CY 2008","CY 2008","Currency=USD","Period=CY","FUND_PER=Y","BEST_FPERIOD_OVERRIDE=1GY","Sort=A","Dates=H","DateFormat=P","Fill=—","Direction=H","UseDPDF=Y")</f>
        <v>15.170400000000001</v>
      </c>
      <c r="E7" s="11" cm="1">
        <f t="array" ref="E7">_xll.BDH("SPX Index","PE_BEF_XO_AGGTE","CY 2009","CY 2009","Currency=USD","Period=CY","FUND_PER=Y","BEST_FPERIOD_OVERRIDE=1GY","Sort=A","Dates=H","DateFormat=P","Fill=—","Direction=H","UseDPDF=Y")</f>
        <v>35.2804</v>
      </c>
      <c r="F7" s="11" cm="1">
        <f t="array" ref="F7">_xll.BDH("SPX Index","PE_BEF_XO_AGGTE","CY 2010","CY 2010","Currency=USD","Period=CY","FUND_PER=Y","BEST_FPERIOD_OVERRIDE=1GY","Sort=A","Dates=H","DateFormat=P","Fill=—","Direction=H","UseDPDF=Y")</f>
        <v>16.033100000000001</v>
      </c>
      <c r="G7" s="11" cm="1">
        <f t="array" ref="G7">_xll.BDH("SPX Index","PE_BEF_XO_AGGTE","CY 2011","CY 2011","Currency=USD","Period=CY","FUND_PER=Y","BEST_FPERIOD_OVERRIDE=1GY","Sort=A","Dates=H","DateFormat=P","Fill=—","Direction=H","UseDPDF=Y")</f>
        <v>13.594200000000001</v>
      </c>
      <c r="H7" s="11" cm="1">
        <f t="array" ref="H7">_xll.BDH("SPX Index","PE_BEF_XO_AGGTE","CY 2012","CY 2012","Currency=USD","Period=CY","FUND_PER=Y","BEST_FPERIOD_OVERRIDE=1GY","Sort=A","Dates=H","DateFormat=P","Fill=—","Direction=H","UseDPDF=Y")</f>
        <v>15.217000000000001</v>
      </c>
      <c r="I7" s="11" cm="1">
        <f t="array" ref="I7">_xll.BDH("SPX Index","PE_BEF_XO_AGGTE","CY 2013","CY 2013","Currency=USD","Period=CY","FUND_PER=Y","BEST_FPERIOD_OVERRIDE=1GY","Sort=A","Dates=H","DateFormat=P","Fill=—","Direction=H","UseDPDF=Y")</f>
        <v>18.429500000000001</v>
      </c>
      <c r="J7" s="11" cm="1">
        <f t="array" ref="J7">_xll.BDH("SPX Index","PE_BEF_XO_AGGTE","CY 2014","CY 2014","Currency=USD","Period=CY","FUND_PER=Y","BEST_FPERIOD_OVERRIDE=1GY","Sort=A","Dates=H","DateFormat=P","Fill=—","Direction=H","UseDPDF=Y")</f>
        <v>18.591999999999999</v>
      </c>
      <c r="K7" s="11" cm="1">
        <f t="array" ref="K7">_xll.BDH("SPX Index","PE_BEF_XO_AGGTE","CY 2015","CY 2015","Currency=USD","Period=CY","FUND_PER=Y","BEST_FPERIOD_OVERRIDE=1GY","Sort=A","Dates=H","DateFormat=P","Fill=—","Direction=H","UseDPDF=Y")</f>
        <v>21.546700000000001</v>
      </c>
      <c r="L7" s="11" cm="1">
        <f t="array" ref="L7">_xll.BDH("SPX Index","PE_BEF_XO_AGGTE","CY 2016","CY 2016","Currency=USD","Period=CY","FUND_PER=Y","BEST_FPERIOD_OVERRIDE=1GY","Sort=A","Dates=H","DateFormat=P","Fill=—","Direction=H","UseDPDF=Y")</f>
        <v>24.007999999999999</v>
      </c>
      <c r="M7" s="11" cm="1">
        <f t="array" ref="M7">_xll.BDH("SPX Index","PE_BEF_XO_AGGTE","CY 2017","CY 2017","Currency=USD","Period=CY","FUND_PER=Y","BEST_FPERIOD_OVERRIDE=1GY","Sort=A","Dates=H","DateFormat=P","Fill=—","Direction=H","UseDPDF=Y")</f>
        <v>23.906700000000001</v>
      </c>
      <c r="N7" s="11" cm="1">
        <f t="array" ref="N7">_xll.BDH("SPX Index","PE_BEF_XO_AGGTE","CY 2018","CY 2018","Currency=USD","Period=CY","FUND_PER=Y","BEST_FPERIOD_OVERRIDE=1GY","Sort=A","Dates=H","DateFormat=P","Fill=—","Direction=H","UseDPDF=Y")</f>
        <v>18.561</v>
      </c>
      <c r="O7" s="11" cm="1">
        <f t="array" ref="O7">_xll.BDH("SPX Index","PE_BEF_XO_AGGTE","CY 2019","CY 2019","Currency=USD","Period=CY","FUND_PER=Y","BEST_FPERIOD_OVERRIDE=1GY","Sort=A","Dates=H","DateFormat=P","Fill=—","Direction=H","UseDPDF=Y")</f>
        <v>23.544</v>
      </c>
      <c r="P7" s="11" cm="1">
        <f t="array" ref="P7">_xll.BDH("SPX Index","PE_BEF_XO_AGGTE","CY 2020","CY 2020","Currency=USD","Period=CY","FUND_PER=Y","BEST_FPERIOD_OVERRIDE=1GY","Sort=A","Dates=H","DateFormat=P","Fill=—","Direction=H","UseDPDF=Y")</f>
        <v>36.8825</v>
      </c>
      <c r="Q7" s="11" cm="1">
        <f t="array" ref="Q7">_xll.BDH("SPX Index","PE_BEF_XO_AGGTE","CY 2021","CY 2021","Currency=USD","Period=CY","FUND_PER=Y","BEST_FPERIOD_OVERRIDE=1GY","Sort=A","Dates=H","DateFormat=P","Fill=—","Direction=H","UseDPDF=Y")</f>
        <v>26.468599999999999</v>
      </c>
      <c r="R7" s="11" cm="1">
        <f t="array" ref="R7">_xll.BDH("SPX Index","PE_BEF_XO_AGGTE","CY 2022","CY 2022","Currency=USD","Period=CY","FUND_PER=Y","BEST_FPERIOD_OVERRIDE=1GY","Sort=A","Dates=H","DateFormat=P","Fill=—","Direction=H","UseDPDF=Y")</f>
        <v>19.945399999999999</v>
      </c>
      <c r="S7" s="11" cm="1">
        <f t="array" ref="S7">_xll.BDH("SPX Index","PE_BEF_XO_AGGTE","CY 2023","CY 2023","Currency=USD","Period=CY","FUND_PER=Y","BEST_FPERIOD_OVERRIDE=1GY","Sort=A","Dates=H","DateFormat=P","Fill=—","Direction=H","UseDPDF=Y")</f>
        <v>25.141200000000001</v>
      </c>
      <c r="T7" s="11" cm="1">
        <f t="array" ref="T7">_xll.BDH("SPX Index","PE_BEF_XO_AGGTE","CY 2024","CY 2024","Currency=USD","Period=CY","FUND_PER=Y","BEST_FPERIOD_OVERRIDE=1GY","Sort=A","Dates=H","DateFormat=P","Fill=—","Direction=H","UseDPDF=Y")</f>
        <v>28.785699999999999</v>
      </c>
      <c r="U7" s="11"/>
      <c r="V7" s="11"/>
    </row>
    <row r="8" spans="1:22">
      <c r="A8" s="9" t="s">
        <v>46</v>
      </c>
      <c r="B8" s="9" t="s">
        <v>47</v>
      </c>
      <c r="C8" s="11" cm="1">
        <f t="array" ref="C8">_xll.BDH("SPX Index","T12M_DIL_PE_CONT_OPS","CY 2007","CY 2007","Currency=USD","Period=CY","FUND_PER=Y","BEST_FPERIOD_OVERRIDE=1GY","Sort=A","Dates=H","DateFormat=P","Fill=—","Direction=H","UseDPDF=Y")</f>
        <v>15.983499999999999</v>
      </c>
      <c r="D8" s="11" cm="1">
        <f t="array" ref="D8">_xll.BDH("SPX Index","T12M_DIL_PE_CONT_OPS","CY 2008","CY 2008","Currency=USD","Period=CY","FUND_PER=Y","BEST_FPERIOD_OVERRIDE=1GY","Sort=A","Dates=H","DateFormat=P","Fill=—","Direction=H","UseDPDF=Y")</f>
        <v>11.6031</v>
      </c>
      <c r="E8" s="11" cm="1">
        <f t="array" ref="E8">_xll.BDH("SPX Index","T12M_DIL_PE_CONT_OPS","CY 2009","CY 2009","Currency=USD","Period=CY","FUND_PER=Y","BEST_FPERIOD_OVERRIDE=1GY","Sort=A","Dates=H","DateFormat=P","Fill=—","Direction=H","UseDPDF=Y")</f>
        <v>20.520700000000001</v>
      </c>
      <c r="F8" s="11" cm="1">
        <f t="array" ref="F8">_xll.BDH("SPX Index","T12M_DIL_PE_CONT_OPS","CY 2010","CY 2010","Currency=USD","Period=CY","FUND_PER=Y","BEST_FPERIOD_OVERRIDE=1GY","Sort=A","Dates=H","DateFormat=P","Fill=—","Direction=H","UseDPDF=Y")</f>
        <v>15.7841</v>
      </c>
      <c r="G8" s="11" cm="1">
        <f t="array" ref="G8">_xll.BDH("SPX Index","T12M_DIL_PE_CONT_OPS","CY 2011","CY 2011","Currency=USD","Period=CY","FUND_PER=Y","BEST_FPERIOD_OVERRIDE=1GY","Sort=A","Dates=H","DateFormat=P","Fill=—","Direction=H","UseDPDF=Y")</f>
        <v>13.8104</v>
      </c>
      <c r="H8" s="11" cm="1">
        <f t="array" ref="H8">_xll.BDH("SPX Index","T12M_DIL_PE_CONT_OPS","CY 2012","CY 2012","Currency=USD","Period=CY","FUND_PER=Y","BEST_FPERIOD_OVERRIDE=1GY","Sort=A","Dates=H","DateFormat=P","Fill=—","Direction=H","UseDPDF=Y")</f>
        <v>14.307</v>
      </c>
      <c r="I8" s="11" cm="1">
        <f t="array" ref="I8">_xll.BDH("SPX Index","T12M_DIL_PE_CONT_OPS","CY 2013","CY 2013","Currency=USD","Period=CY","FUND_PER=Y","BEST_FPERIOD_OVERRIDE=1GY","Sort=A","Dates=H","DateFormat=P","Fill=—","Direction=H","UseDPDF=Y")</f>
        <v>16.474699999999999</v>
      </c>
      <c r="J8" s="11" cm="1">
        <f t="array" ref="J8">_xll.BDH("SPX Index","T12M_DIL_PE_CONT_OPS","CY 2014","CY 2014","Currency=USD","Period=CY","FUND_PER=Y","BEST_FPERIOD_OVERRIDE=1GY","Sort=A","Dates=H","DateFormat=P","Fill=—","Direction=H","UseDPDF=Y")</f>
        <v>17.861699999999999</v>
      </c>
      <c r="K8" s="11" cm="1">
        <f t="array" ref="K8">_xll.BDH("SPX Index","T12M_DIL_PE_CONT_OPS","CY 2015","CY 2015","Currency=USD","Period=CY","FUND_PER=Y","BEST_FPERIOD_OVERRIDE=1GY","Sort=A","Dates=H","DateFormat=P","Fill=—","Direction=H","UseDPDF=Y")</f>
        <v>18.046399999999998</v>
      </c>
      <c r="L8" s="11" cm="1">
        <f t="array" ref="L8">_xll.BDH("SPX Index","T12M_DIL_PE_CONT_OPS","CY 2016","CY 2016","Currency=USD","Period=CY","FUND_PER=Y","BEST_FPERIOD_OVERRIDE=1GY","Sort=A","Dates=H","DateFormat=P","Fill=—","Direction=H","UseDPDF=Y")</f>
        <v>20.561900000000001</v>
      </c>
      <c r="M8" s="11" cm="1">
        <f t="array" ref="M8">_xll.BDH("SPX Index","T12M_DIL_PE_CONT_OPS","CY 2017","CY 2017","Currency=USD","Period=CY","FUND_PER=Y","BEST_FPERIOD_OVERRIDE=1GY","Sort=A","Dates=H","DateFormat=P","Fill=—","Direction=H","UseDPDF=Y")</f>
        <v>21.997800000000002</v>
      </c>
      <c r="N8" s="11" cm="1">
        <f t="array" ref="N8">_xll.BDH("SPX Index","T12M_DIL_PE_CONT_OPS","CY 2018","CY 2018","Currency=USD","Period=CY","FUND_PER=Y","BEST_FPERIOD_OVERRIDE=1GY","Sort=A","Dates=H","DateFormat=P","Fill=—","Direction=H","UseDPDF=Y")</f>
        <v>16.712800000000001</v>
      </c>
      <c r="O8" s="11" cm="1">
        <f t="array" ref="O8">_xll.BDH("SPX Index","T12M_DIL_PE_CONT_OPS","CY 2019","CY 2019","Currency=USD","Period=CY","FUND_PER=Y","BEST_FPERIOD_OVERRIDE=1GY","Sort=A","Dates=H","DateFormat=P","Fill=—","Direction=H","UseDPDF=Y")</f>
        <v>21.127700000000001</v>
      </c>
      <c r="P8" s="11" cm="1">
        <f t="array" ref="P8">_xll.BDH("SPX Index","T12M_DIL_PE_CONT_OPS","CY 2020","CY 2020","Currency=USD","Period=CY","FUND_PER=Y","BEST_FPERIOD_OVERRIDE=1GY","Sort=A","Dates=H","DateFormat=P","Fill=—","Direction=H","UseDPDF=Y")</f>
        <v>28.791699999999999</v>
      </c>
      <c r="Q8" s="11" cm="1">
        <f t="array" ref="Q8">_xll.BDH("SPX Index","T12M_DIL_PE_CONT_OPS","CY 2021","CY 2021","Currency=USD","Period=CY","FUND_PER=Y","BEST_FPERIOD_OVERRIDE=1GY","Sort=A","Dates=H","DateFormat=P","Fill=—","Direction=H","UseDPDF=Y")</f>
        <v>25.970400000000001</v>
      </c>
      <c r="R8" s="11" cm="1">
        <f t="array" ref="R8">_xll.BDH("SPX Index","T12M_DIL_PE_CONT_OPS","CY 2022","CY 2022","Currency=USD","Period=CY","FUND_PER=Y","BEST_FPERIOD_OVERRIDE=1GY","Sort=A","Dates=H","DateFormat=P","Fill=—","Direction=H","UseDPDF=Y")</f>
        <v>18.2394</v>
      </c>
      <c r="S8" s="11" cm="1">
        <f t="array" ref="S8">_xll.BDH("SPX Index","T12M_DIL_PE_CONT_OPS","CY 2023","CY 2023","Currency=USD","Period=CY","FUND_PER=Y","BEST_FPERIOD_OVERRIDE=1GY","Sort=A","Dates=H","DateFormat=P","Fill=—","Direction=H","UseDPDF=Y")</f>
        <v>22.765000000000001</v>
      </c>
      <c r="T8" s="11" cm="1">
        <f t="array" ref="T8">_xll.BDH("SPX Index","T12M_DIL_PE_CONT_OPS","CY 2024","CY 2024","Currency=USD","Period=CY","FUND_PER=Y","BEST_FPERIOD_OVERRIDE=1GY","Sort=A","Dates=H","DateFormat=P","Fill=—","Direction=H","UseDPDF=Y")</f>
        <v>26.417899999999999</v>
      </c>
      <c r="U8" s="11"/>
      <c r="V8" s="11"/>
    </row>
    <row r="9" spans="1:22">
      <c r="A9" s="9" t="s">
        <v>48</v>
      </c>
      <c r="B9" s="9" t="s">
        <v>49</v>
      </c>
      <c r="C9" s="11" cm="1">
        <f t="array" ref="C9">_xll.BDH("SPX Index","PX_POS_EARN_BEFORE_XO_ITEMS","CY 2007","CY 2007","Currency=USD","Period=CY","FUND_PER=Y","BEST_FPERIOD_OVERRIDE=1GY","Sort=A","Dates=H","DateFormat=P","Fill=—","Direction=H","UseDPDF=Y")</f>
        <v>16.254899999999999</v>
      </c>
      <c r="D9" s="11" cm="1">
        <f t="array" ref="D9">_xll.BDH("SPX Index","PX_POS_EARN_BEFORE_XO_ITEMS","CY 2008","CY 2008","Currency=USD","Period=CY","FUND_PER=Y","BEST_FPERIOD_OVERRIDE=1GY","Sort=A","Dates=H","DateFormat=P","Fill=—","Direction=H","UseDPDF=Y")</f>
        <v>10.5899</v>
      </c>
      <c r="E9" s="11" cm="1">
        <f t="array" ref="E9">_xll.BDH("SPX Index","PX_POS_EARN_BEFORE_XO_ITEMS","CY 2009","CY 2009","Currency=USD","Period=CY","FUND_PER=Y","BEST_FPERIOD_OVERRIDE=1GY","Sort=A","Dates=H","DateFormat=P","Fill=—","Direction=H","UseDPDF=Y")</f>
        <v>18.1813</v>
      </c>
      <c r="F9" s="11" cm="1">
        <f t="array" ref="F9">_xll.BDH("SPX Index","PX_POS_EARN_BEFORE_XO_ITEMS","CY 2010","CY 2010","Currency=USD","Period=CY","FUND_PER=Y","BEST_FPERIOD_OVERRIDE=1GY","Sort=A","Dates=H","DateFormat=P","Fill=—","Direction=H","UseDPDF=Y")</f>
        <v>15.5022</v>
      </c>
      <c r="G9" s="11" cm="1">
        <f t="array" ref="G9">_xll.BDH("SPX Index","PX_POS_EARN_BEFORE_XO_ITEMS","CY 2011","CY 2011","Currency=USD","Period=CY","FUND_PER=Y","BEST_FPERIOD_OVERRIDE=1GY","Sort=A","Dates=H","DateFormat=P","Fill=—","Direction=H","UseDPDF=Y")</f>
        <v>13.2469</v>
      </c>
      <c r="H9" s="11" cm="1">
        <f t="array" ref="H9">_xll.BDH("SPX Index","PX_POS_EARN_BEFORE_XO_ITEMS","CY 2012","CY 2012","Currency=USD","Period=CY","FUND_PER=Y","BEST_FPERIOD_OVERRIDE=1GY","Sort=A","Dates=H","DateFormat=P","Fill=—","Direction=H","UseDPDF=Y")</f>
        <v>14.3857</v>
      </c>
      <c r="I9" s="11" cm="1">
        <f t="array" ref="I9">_xll.BDH("SPX Index","PX_POS_EARN_BEFORE_XO_ITEMS","CY 2013","CY 2013","Currency=USD","Period=CY","FUND_PER=Y","BEST_FPERIOD_OVERRIDE=1GY","Sort=A","Dates=H","DateFormat=P","Fill=—","Direction=H","UseDPDF=Y")</f>
        <v>17.9878</v>
      </c>
      <c r="J9" s="11" cm="1">
        <f t="array" ref="J9">_xll.BDH("SPX Index","PX_POS_EARN_BEFORE_XO_ITEMS","CY 2014","CY 2014","Currency=USD","Period=CY","FUND_PER=Y","BEST_FPERIOD_OVERRIDE=1GY","Sort=A","Dates=H","DateFormat=P","Fill=—","Direction=H","UseDPDF=Y")</f>
        <v>18.245000000000001</v>
      </c>
      <c r="K9" s="11" cm="1">
        <f t="array" ref="K9">_xll.BDH("SPX Index","PX_POS_EARN_BEFORE_XO_ITEMS","CY 2015","CY 2015","Currency=USD","Period=CY","FUND_PER=Y","BEST_FPERIOD_OVERRIDE=1GY","Sort=A","Dates=H","DateFormat=P","Fill=—","Direction=H","UseDPDF=Y")</f>
        <v>19.006399999999999</v>
      </c>
      <c r="L9" s="11" cm="1">
        <f t="array" ref="L9">_xll.BDH("SPX Index","PX_POS_EARN_BEFORE_XO_ITEMS","CY 2016","CY 2016","Currency=USD","Period=CY","FUND_PER=Y","BEST_FPERIOD_OVERRIDE=1GY","Sort=A","Dates=H","DateFormat=P","Fill=—","Direction=H","UseDPDF=Y")</f>
        <v>20.922499999999999</v>
      </c>
      <c r="M9" s="11" cm="1">
        <f t="array" ref="M9">_xll.BDH("SPX Index","PX_POS_EARN_BEFORE_XO_ITEMS","CY 2017","CY 2017","Currency=USD","Period=CY","FUND_PER=Y","BEST_FPERIOD_OVERRIDE=1GY","Sort=A","Dates=H","DateFormat=P","Fill=—","Direction=H","UseDPDF=Y")</f>
        <v>22.784099999999999</v>
      </c>
      <c r="N9" s="11" cm="1">
        <f t="array" ref="N9">_xll.BDH("SPX Index","PX_POS_EARN_BEFORE_XO_ITEMS","CY 2018","CY 2018","Currency=USD","Period=CY","FUND_PER=Y","BEST_FPERIOD_OVERRIDE=1GY","Sort=A","Dates=H","DateFormat=P","Fill=—","Direction=H","UseDPDF=Y")</f>
        <v>17.1736</v>
      </c>
      <c r="O9" s="11" cm="1">
        <f t="array" ref="O9">_xll.BDH("SPX Index","PX_POS_EARN_BEFORE_XO_ITEMS","CY 2019","CY 2019","Currency=USD","Period=CY","FUND_PER=Y","BEST_FPERIOD_OVERRIDE=1GY","Sort=A","Dates=H","DateFormat=P","Fill=—","Direction=H","UseDPDF=Y")</f>
        <v>22.1814</v>
      </c>
      <c r="P9" s="11" cm="1">
        <f t="array" ref="P9">_xll.BDH("SPX Index","PX_POS_EARN_BEFORE_XO_ITEMS","CY 2020","CY 2020","Currency=USD","Period=CY","FUND_PER=Y","BEST_FPERIOD_OVERRIDE=1GY","Sort=A","Dates=H","DateFormat=P","Fill=—","Direction=H","UseDPDF=Y")</f>
        <v>29.1844</v>
      </c>
      <c r="Q9" s="11" cm="1">
        <f t="array" ref="Q9">_xll.BDH("SPX Index","PX_POS_EARN_BEFORE_XO_ITEMS","CY 2021","CY 2021","Currency=USD","Period=CY","FUND_PER=Y","BEST_FPERIOD_OVERRIDE=1GY","Sort=A","Dates=H","DateFormat=P","Fill=—","Direction=H","UseDPDF=Y")</f>
        <v>25.1295</v>
      </c>
      <c r="R9" s="11" cm="1">
        <f t="array" ref="R9">_xll.BDH("SPX Index","PX_POS_EARN_BEFORE_XO_ITEMS","CY 2022","CY 2022","Currency=USD","Period=CY","FUND_PER=Y","BEST_FPERIOD_OVERRIDE=1GY","Sort=A","Dates=H","DateFormat=P","Fill=—","Direction=H","UseDPDF=Y")</f>
        <v>19.029399999999999</v>
      </c>
      <c r="S9" s="11" cm="1">
        <f t="array" ref="S9">_xll.BDH("SPX Index","PX_POS_EARN_BEFORE_XO_ITEMS","CY 2023","CY 2023","Currency=USD","Period=CY","FUND_PER=Y","BEST_FPERIOD_OVERRIDE=1GY","Sort=A","Dates=H","DateFormat=P","Fill=—","Direction=H","UseDPDF=Y")</f>
        <v>23.463000000000001</v>
      </c>
      <c r="T9" s="11" cm="1">
        <f t="array" ref="T9">_xll.BDH("SPX Index","PX_POS_EARN_BEFORE_XO_ITEMS","CY 2024","CY 2024","Currency=USD","Period=CY","FUND_PER=Y","BEST_FPERIOD_OVERRIDE=1GY","Sort=A","Dates=H","DateFormat=P","Fill=—","Direction=H","UseDPDF=Y")</f>
        <v>27.149799999999999</v>
      </c>
      <c r="U9" s="11">
        <v>27.606329136283399</v>
      </c>
      <c r="V9" s="11">
        <v>23.743755747349301</v>
      </c>
    </row>
    <row r="10" spans="1:22">
      <c r="A10" s="9" t="s">
        <v>50</v>
      </c>
      <c r="B10" s="9" t="s">
        <v>51</v>
      </c>
      <c r="C10" s="11" cm="1">
        <f t="array" ref="C10">_xll.BDH("SPX Index","PX_TO_CASH_FLOW","CY 2007","CY 2007","Currency=USD","Period=CY","FUND_PER=Y","BEST_FPERIOD_OVERRIDE=1GY","Sort=A","Dates=H","DateFormat=P","Fill=—","Direction=H","UseDPDF=Y")</f>
        <v>27.833100000000002</v>
      </c>
      <c r="D10" s="11" cm="1">
        <f t="array" ref="D10">_xll.BDH("SPX Index","PX_TO_CASH_FLOW","CY 2008","CY 2008","Currency=USD","Period=CY","FUND_PER=Y","BEST_FPERIOD_OVERRIDE=1GY","Sort=A","Dates=H","DateFormat=P","Fill=—","Direction=H","UseDPDF=Y")</f>
        <v>5.9127000000000001</v>
      </c>
      <c r="E10" s="11" cm="1">
        <f t="array" ref="E10">_xll.BDH("SPX Index","PX_TO_CASH_FLOW","CY 2009","CY 2009","Currency=USD","Period=CY","FUND_PER=Y","BEST_FPERIOD_OVERRIDE=1GY","Sort=A","Dates=H","DateFormat=P","Fill=—","Direction=H","UseDPDF=Y")</f>
        <v>8.0074000000000005</v>
      </c>
      <c r="F10" s="11" cm="1">
        <f t="array" ref="F10">_xll.BDH("SPX Index","PX_TO_CASH_FLOW","CY 2010","CY 2010","Currency=USD","Period=CY","FUND_PER=Y","BEST_FPERIOD_OVERRIDE=1GY","Sort=A","Dates=H","DateFormat=P","Fill=—","Direction=H","UseDPDF=Y")</f>
        <v>8.5396000000000001</v>
      </c>
      <c r="G10" s="11" cm="1">
        <f t="array" ref="G10">_xll.BDH("SPX Index","PX_TO_CASH_FLOW","CY 2011","CY 2011","Currency=USD","Period=CY","FUND_PER=Y","BEST_FPERIOD_OVERRIDE=1GY","Sort=A","Dates=H","DateFormat=P","Fill=—","Direction=H","UseDPDF=Y")</f>
        <v>7.4972000000000003</v>
      </c>
      <c r="H10" s="11" cm="1">
        <f t="array" ref="H10">_xll.BDH("SPX Index","PX_TO_CASH_FLOW","CY 2012","CY 2012","Currency=USD","Period=CY","FUND_PER=Y","BEST_FPERIOD_OVERRIDE=1GY","Sort=A","Dates=H","DateFormat=P","Fill=—","Direction=H","UseDPDF=Y")</f>
        <v>8.2210000000000001</v>
      </c>
      <c r="I10" s="11" cm="1">
        <f t="array" ref="I10">_xll.BDH("SPX Index","PX_TO_CASH_FLOW","CY 2013","CY 2013","Currency=USD","Period=CY","FUND_PER=Y","BEST_FPERIOD_OVERRIDE=1GY","Sort=A","Dates=H","DateFormat=P","Fill=—","Direction=H","UseDPDF=Y")</f>
        <v>9.5260999999999996</v>
      </c>
      <c r="J10" s="11" cm="1">
        <f t="array" ref="J10">_xll.BDH("SPX Index","PX_TO_CASH_FLOW","CY 2014","CY 2014","Currency=USD","Period=CY","FUND_PER=Y","BEST_FPERIOD_OVERRIDE=1GY","Sort=A","Dates=H","DateFormat=P","Fill=—","Direction=H","UseDPDF=Y")</f>
        <v>11.159700000000001</v>
      </c>
      <c r="K10" s="11" cm="1">
        <f t="array" ref="K10">_xll.BDH("SPX Index","PX_TO_CASH_FLOW","CY 2015","CY 2015","Currency=USD","Period=CY","FUND_PER=Y","BEST_FPERIOD_OVERRIDE=1GY","Sort=A","Dates=H","DateFormat=P","Fill=—","Direction=H","UseDPDF=Y")</f>
        <v>10.6075</v>
      </c>
      <c r="L10" s="11" cm="1">
        <f t="array" ref="L10">_xll.BDH("SPX Index","PX_TO_CASH_FLOW","CY 2016","CY 2016","Currency=USD","Period=CY","FUND_PER=Y","BEST_FPERIOD_OVERRIDE=1GY","Sort=A","Dates=H","DateFormat=P","Fill=—","Direction=H","UseDPDF=Y")</f>
        <v>12.3332</v>
      </c>
      <c r="M10" s="11" cm="1">
        <f t="array" ref="M10">_xll.BDH("SPX Index","PX_TO_CASH_FLOW","CY 2017","CY 2017","Currency=USD","Period=CY","FUND_PER=Y","BEST_FPERIOD_OVERRIDE=1GY","Sort=A","Dates=H","DateFormat=P","Fill=—","Direction=H","UseDPDF=Y")</f>
        <v>14.4564</v>
      </c>
      <c r="N10" s="11" cm="1">
        <f t="array" ref="N10">_xll.BDH("SPX Index","PX_TO_CASH_FLOW","CY 2018","CY 2018","Currency=USD","Period=CY","FUND_PER=Y","BEST_FPERIOD_OVERRIDE=1GY","Sort=A","Dates=H","DateFormat=P","Fill=—","Direction=H","UseDPDF=Y")</f>
        <v>11.263400000000001</v>
      </c>
      <c r="O10" s="11" cm="1">
        <f t="array" ref="O10">_xll.BDH("SPX Index","PX_TO_CASH_FLOW","CY 2019","CY 2019","Currency=USD","Period=CY","FUND_PER=Y","BEST_FPERIOD_OVERRIDE=1GY","Sort=A","Dates=H","DateFormat=P","Fill=—","Direction=H","UseDPDF=Y")</f>
        <v>15.391299999999999</v>
      </c>
      <c r="P10" s="11" cm="1">
        <f t="array" ref="P10">_xll.BDH("SPX Index","PX_TO_CASH_FLOW","CY 2020","CY 2020","Currency=USD","Period=CY","FUND_PER=Y","BEST_FPERIOD_OVERRIDE=1GY","Sort=A","Dates=H","DateFormat=P","Fill=—","Direction=H","UseDPDF=Y")</f>
        <v>15.9941</v>
      </c>
      <c r="Q10" s="11" cm="1">
        <f t="array" ref="Q10">_xll.BDH("SPX Index","PX_TO_CASH_FLOW","CY 2021","CY 2021","Currency=USD","Period=CY","FUND_PER=Y","BEST_FPERIOD_OVERRIDE=1GY","Sort=A","Dates=H","DateFormat=P","Fill=—","Direction=H","UseDPDF=Y")</f>
        <v>19.251799999999999</v>
      </c>
      <c r="R10" s="11" cm="1">
        <f t="array" ref="R10">_xll.BDH("SPX Index","PX_TO_CASH_FLOW","CY 2022","CY 2022","Currency=USD","Period=CY","FUND_PER=Y","BEST_FPERIOD_OVERRIDE=1GY","Sort=A","Dates=H","DateFormat=P","Fill=—","Direction=H","UseDPDF=Y")</f>
        <v>13.207000000000001</v>
      </c>
      <c r="S10" s="11" cm="1">
        <f t="array" ref="S10">_xll.BDH("SPX Index","PX_TO_CASH_FLOW","CY 2023","CY 2023","Currency=USD","Period=CY","FUND_PER=Y","BEST_FPERIOD_OVERRIDE=1GY","Sort=A","Dates=H","DateFormat=P","Fill=—","Direction=H","UseDPDF=Y")</f>
        <v>16.098099999999999</v>
      </c>
      <c r="T10" s="11" cm="1">
        <f t="array" ref="T10">_xll.BDH("SPX Index","PX_TO_CASH_FLOW","CY 2024","CY 2024","Currency=USD","Period=CY","FUND_PER=Y","BEST_FPERIOD_OVERRIDE=1GY","Sort=A","Dates=H","DateFormat=P","Fill=—","Direction=H","UseDPDF=Y")</f>
        <v>21.912299999999998</v>
      </c>
      <c r="U10" s="11">
        <v>19.564629981746901</v>
      </c>
      <c r="V10" s="11">
        <v>16.346975850232301</v>
      </c>
    </row>
    <row r="11" spans="1:22">
      <c r="A11" s="9" t="s">
        <v>52</v>
      </c>
      <c r="B11" s="9" t="s">
        <v>53</v>
      </c>
      <c r="C11" s="11" cm="1">
        <f t="array" ref="C11">_xll.BDH("SPX Index","PX_TO_SALES_RATIO","CY 2007","CY 2007","Currency=USD","Period=CY","FUND_PER=Y","BEST_FPERIOD_OVERRIDE=1GY","FA_ADJUSTED=GAAP","Sort=A","Dates=H","DateFormat=P","Fill=—","Direction=H","UseDPDF=Y")</f>
        <v>1.4567000000000001</v>
      </c>
      <c r="D11" s="11" cm="1">
        <f t="array" ref="D11">_xll.BDH("SPX Index","PX_TO_SALES_RATIO","CY 2008","CY 2008","Currency=USD","Period=CY","FUND_PER=Y","BEST_FPERIOD_OVERRIDE=1GY","FA_ADJUSTED=GAAP","Sort=A","Dates=H","DateFormat=P","Fill=—","Direction=H","UseDPDF=Y")</f>
        <v>0.86009999999999998</v>
      </c>
      <c r="E11" s="11" cm="1">
        <f t="array" ref="E11">_xll.BDH("SPX Index","PX_TO_SALES_RATIO","CY 2009","CY 2009","Currency=USD","Period=CY","FUND_PER=Y","BEST_FPERIOD_OVERRIDE=1GY","FA_ADJUSTED=GAAP","Sort=A","Dates=H","DateFormat=P","Fill=—","Direction=H","UseDPDF=Y")</f>
        <v>1.2816000000000001</v>
      </c>
      <c r="F11" s="11" cm="1">
        <f t="array" ref="F11">_xll.BDH("SPX Index","PX_TO_SALES_RATIO","CY 2010","CY 2010","Currency=USD","Period=CY","FUND_PER=Y","BEST_FPERIOD_OVERRIDE=1GY","FA_ADJUSTED=GAAP","Sort=A","Dates=H","DateFormat=P","Fill=—","Direction=H","UseDPDF=Y")</f>
        <v>1.36</v>
      </c>
      <c r="G11" s="11" cm="1">
        <f t="array" ref="G11">_xll.BDH("SPX Index","PX_TO_SALES_RATIO","CY 2011","CY 2011","Currency=USD","Period=CY","FUND_PER=Y","BEST_FPERIOD_OVERRIDE=1GY","FA_ADJUSTED=GAAP","Sort=A","Dates=H","DateFormat=P","Fill=—","Direction=H","UseDPDF=Y")</f>
        <v>1.2209000000000001</v>
      </c>
      <c r="H11" s="11" cm="1">
        <f t="array" ref="H11">_xll.BDH("SPX Index","PX_TO_SALES_RATIO","CY 2012","CY 2012","Currency=USD","Period=CY","FUND_PER=Y","BEST_FPERIOD_OVERRIDE=1GY","FA_ADJUSTED=GAAP","Sort=A","Dates=H","DateFormat=P","Fill=—","Direction=H","UseDPDF=Y")</f>
        <v>1.3363</v>
      </c>
      <c r="I11" s="11" cm="1">
        <f t="array" ref="I11">_xll.BDH("SPX Index","PX_TO_SALES_RATIO","CY 2013","CY 2013","Currency=USD","Period=CY","FUND_PER=Y","BEST_FPERIOD_OVERRIDE=1GY","FA_ADJUSTED=GAAP","Sort=A","Dates=H","DateFormat=P","Fill=—","Direction=H","UseDPDF=Y")</f>
        <v>1.6438999999999999</v>
      </c>
      <c r="J11" s="11" cm="1">
        <f t="array" ref="J11">_xll.BDH("SPX Index","PX_TO_SALES_RATIO","CY 2014","CY 2014","Currency=USD","Period=CY","FUND_PER=Y","BEST_FPERIOD_OVERRIDE=1GY","FA_ADJUSTED=GAAP","Sort=A","Dates=H","DateFormat=P","Fill=—","Direction=H","UseDPDF=Y")</f>
        <v>1.7813000000000001</v>
      </c>
      <c r="K11" s="11" cm="1">
        <f t="array" ref="K11">_xll.BDH("SPX Index","PX_TO_SALES_RATIO","CY 2015","CY 2015","Currency=USD","Period=CY","FUND_PER=Y","BEST_FPERIOD_OVERRIDE=1GY","FA_ADJUSTED=GAAP","Sort=A","Dates=H","DateFormat=P","Fill=—","Direction=H","UseDPDF=Y")</f>
        <v>1.7947</v>
      </c>
      <c r="L11" s="11" cm="1">
        <f t="array" ref="L11">_xll.BDH("SPX Index","PX_TO_SALES_RATIO","CY 2016","CY 2016","Currency=USD","Period=CY","FUND_PER=Y","BEST_FPERIOD_OVERRIDE=1GY","FA_ADJUSTED=GAAP","Sort=A","Dates=H","DateFormat=P","Fill=—","Direction=H","UseDPDF=Y")</f>
        <v>1.9719</v>
      </c>
      <c r="M11" s="11" cm="1">
        <f t="array" ref="M11">_xll.BDH("SPX Index","PX_TO_SALES_RATIO","CY 2017","CY 2017","Currency=USD","Period=CY","FUND_PER=Y","BEST_FPERIOD_OVERRIDE=1GY","FA_ADJUSTED=GAAP","Sort=A","Dates=H","DateFormat=P","Fill=—","Direction=H","UseDPDF=Y")</f>
        <v>2.2208999999999999</v>
      </c>
      <c r="N11" s="11" cm="1">
        <f t="array" ref="N11">_xll.BDH("SPX Index","PX_TO_SALES_RATIO","CY 2018","CY 2018","Currency=USD","Period=CY","FUND_PER=Y","BEST_FPERIOD_OVERRIDE=1GY","FA_ADJUSTED=GAAP","Sort=A","Dates=H","DateFormat=P","Fill=—","Direction=H","UseDPDF=Y")</f>
        <v>1.8835</v>
      </c>
      <c r="O11" s="11" cm="1">
        <f t="array" ref="O11">_xll.BDH("SPX Index","PX_TO_SALES_RATIO","CY 2019","CY 2019","Currency=USD","Period=CY","FUND_PER=Y","BEST_FPERIOD_OVERRIDE=1GY","FA_ADJUSTED=GAAP","Sort=A","Dates=H","DateFormat=P","Fill=—","Direction=H","UseDPDF=Y")</f>
        <v>2.3039999999999998</v>
      </c>
      <c r="P11" s="11" cm="1">
        <f t="array" ref="P11">_xll.BDH("SPX Index","PX_TO_SALES_RATIO","CY 2020","CY 2020","Currency=USD","Period=CY","FUND_PER=Y","BEST_FPERIOD_OVERRIDE=1GY","FA_ADJUSTED=GAAP","Sort=A","Dates=H","DateFormat=P","Fill=—","Direction=H","UseDPDF=Y")</f>
        <v>2.7519999999999998</v>
      </c>
      <c r="Q11" s="11" cm="1">
        <f t="array" ref="Q11">_xll.BDH("SPX Index","PX_TO_SALES_RATIO","CY 2021","CY 2021","Currency=USD","Period=CY","FUND_PER=Y","BEST_FPERIOD_OVERRIDE=1GY","FA_ADJUSTED=GAAP","Sort=A","Dates=H","DateFormat=P","Fill=—","Direction=H","UseDPDF=Y")</f>
        <v>3.1604000000000001</v>
      </c>
      <c r="R11" s="11" cm="1">
        <f t="array" ref="R11">_xll.BDH("SPX Index","PX_TO_SALES_RATIO","CY 2022","CY 2022","Currency=USD","Period=CY","FUND_PER=Y","BEST_FPERIOD_OVERRIDE=1GY","FA_ADJUSTED=GAAP","Sort=A","Dates=H","DateFormat=P","Fill=—","Direction=H","UseDPDF=Y")</f>
        <v>2.2294999999999998</v>
      </c>
      <c r="S11" s="11" cm="1">
        <f t="array" ref="S11">_xll.BDH("SPX Index","PX_TO_SALES_RATIO","CY 2023","CY 2023","Currency=USD","Period=CY","FUND_PER=Y","BEST_FPERIOD_OVERRIDE=1GY","FA_ADJUSTED=GAAP","Sort=A","Dates=H","DateFormat=P","Fill=—","Direction=H","UseDPDF=Y")</f>
        <v>2.5891999999999999</v>
      </c>
      <c r="T11" s="11" cm="1">
        <f t="array" ref="T11">_xll.BDH("SPX Index","PX_TO_SALES_RATIO","CY 2024","CY 2024","Currency=USD","Period=CY","FUND_PER=Y","BEST_FPERIOD_OVERRIDE=1GY","FA_ADJUSTED=GAAP","Sort=A","Dates=H","DateFormat=P","Fill=—","Direction=H","UseDPDF=Y")</f>
        <v>3.0211999999999999</v>
      </c>
      <c r="U11" s="11">
        <v>3.4725034619342301</v>
      </c>
      <c r="V11" s="11">
        <v>3.25519905493366</v>
      </c>
    </row>
    <row r="12" spans="1:22">
      <c r="A12" s="9" t="s">
        <v>54</v>
      </c>
      <c r="B12" s="9" t="s">
        <v>55</v>
      </c>
      <c r="C12" s="11" cm="1">
        <f t="array" ref="C12">_xll.BDH("SPX Index","PX_TO_EBITDA","CY 2007","CY 2007","Currency=USD","Period=CY","FUND_PER=Y","BEST_FPERIOD_OVERRIDE=1GY","FA_ADJUSTED=GAAP","Sort=A","Dates=H","DateFormat=P","Fill=—","Direction=H","UseDPDF=Y")</f>
        <v>6.8925999999999998</v>
      </c>
      <c r="D12" s="11" cm="1">
        <f t="array" ref="D12">_xll.BDH("SPX Index","PX_TO_EBITDA","CY 2008","CY 2008","Currency=USD","Period=CY","FUND_PER=Y","BEST_FPERIOD_OVERRIDE=1GY","FA_ADJUSTED=GAAP","Sort=A","Dates=H","DateFormat=P","Fill=—","Direction=H","UseDPDF=Y")</f>
        <v>4.6829999999999998</v>
      </c>
      <c r="E12" s="11" cm="1">
        <f t="array" ref="E12">_xll.BDH("SPX Index","PX_TO_EBITDA","CY 2009","CY 2009","Currency=USD","Period=CY","FUND_PER=Y","BEST_FPERIOD_OVERRIDE=1GY","FA_ADJUSTED=GAAP","Sort=A","Dates=H","DateFormat=P","Fill=—","Direction=H","UseDPDF=Y")</f>
        <v>8.2782</v>
      </c>
      <c r="F12" s="11" cm="1">
        <f t="array" ref="F12">_xll.BDH("SPX Index","PX_TO_EBITDA","CY 2010","CY 2010","Currency=USD","Period=CY","FUND_PER=Y","BEST_FPERIOD_OVERRIDE=1GY","FA_ADJUSTED=GAAP","Sort=A","Dates=H","DateFormat=P","Fill=—","Direction=H","UseDPDF=Y")</f>
        <v>7.6097999999999999</v>
      </c>
      <c r="G12" s="11" cm="1">
        <f t="array" ref="G12">_xll.BDH("SPX Index","PX_TO_EBITDA","CY 2011","CY 2011","Currency=USD","Period=CY","FUND_PER=Y","BEST_FPERIOD_OVERRIDE=1GY","FA_ADJUSTED=GAAP","Sort=A","Dates=H","DateFormat=P","Fill=—","Direction=H","UseDPDF=Y")</f>
        <v>6.7248999999999999</v>
      </c>
      <c r="H12" s="11" cm="1">
        <f t="array" ref="H12">_xll.BDH("SPX Index","PX_TO_EBITDA","CY 2012","CY 2012","Currency=USD","Period=CY","FUND_PER=Y","BEST_FPERIOD_OVERRIDE=1GY","FA_ADJUSTED=GAAP","Sort=A","Dates=H","DateFormat=P","Fill=—","Direction=H","UseDPDF=Y")</f>
        <v>7.6185999999999998</v>
      </c>
      <c r="I12" s="11" cm="1">
        <f t="array" ref="I12">_xll.BDH("SPX Index","PX_TO_EBITDA","CY 2013","CY 2013","Currency=USD","Period=CY","FUND_PER=Y","BEST_FPERIOD_OVERRIDE=1GY","FA_ADJUSTED=GAAP","Sort=A","Dates=H","DateFormat=P","Fill=—","Direction=H","UseDPDF=Y")</f>
        <v>9.3388000000000009</v>
      </c>
      <c r="J12" s="11" cm="1">
        <f t="array" ref="J12">_xll.BDH("SPX Index","PX_TO_EBITDA","CY 2014","CY 2014","Currency=USD","Period=CY","FUND_PER=Y","BEST_FPERIOD_OVERRIDE=1GY","FA_ADJUSTED=GAAP","Sort=A","Dates=H","DateFormat=P","Fill=—","Direction=H","UseDPDF=Y")</f>
        <v>9.4224999999999994</v>
      </c>
      <c r="K12" s="11" cm="1">
        <f t="array" ref="K12">_xll.BDH("SPX Index","PX_TO_EBITDA","CY 2015","CY 2015","Currency=USD","Period=CY","FUND_PER=Y","BEST_FPERIOD_OVERRIDE=1GY","FA_ADJUSTED=GAAP","Sort=A","Dates=H","DateFormat=P","Fill=—","Direction=H","UseDPDF=Y")</f>
        <v>10.3758</v>
      </c>
      <c r="L12" s="11" cm="1">
        <f t="array" ref="L12">_xll.BDH("SPX Index","PX_TO_EBITDA","CY 2016","CY 2016","Currency=USD","Period=CY","FUND_PER=Y","BEST_FPERIOD_OVERRIDE=1GY","FA_ADJUSTED=GAAP","Sort=A","Dates=H","DateFormat=P","Fill=—","Direction=H","UseDPDF=Y")</f>
        <v>11.2026</v>
      </c>
      <c r="M12" s="11" cm="1">
        <f t="array" ref="M12">_xll.BDH("SPX Index","PX_TO_EBITDA","CY 2017","CY 2017","Currency=USD","Period=CY","FUND_PER=Y","BEST_FPERIOD_OVERRIDE=1GY","FA_ADJUSTED=GAAP","Sort=A","Dates=H","DateFormat=P","Fill=—","Direction=H","UseDPDF=Y")</f>
        <v>11.659800000000001</v>
      </c>
      <c r="N12" s="11" cm="1">
        <f t="array" ref="N12">_xll.BDH("SPX Index","PX_TO_EBITDA","CY 2018","CY 2018","Currency=USD","Period=CY","FUND_PER=Y","BEST_FPERIOD_OVERRIDE=1GY","FA_ADJUSTED=GAAP","Sort=A","Dates=H","DateFormat=P","Fill=—","Direction=H","UseDPDF=Y")</f>
        <v>9.8473000000000006</v>
      </c>
      <c r="O12" s="11" cm="1">
        <f t="array" ref="O12">_xll.BDH("SPX Index","PX_TO_EBITDA","CY 2019","CY 2019","Currency=USD","Period=CY","FUND_PER=Y","BEST_FPERIOD_OVERRIDE=1GY","FA_ADJUSTED=GAAP","Sort=A","Dates=H","DateFormat=P","Fill=—","Direction=H","UseDPDF=Y")</f>
        <v>11.984400000000001</v>
      </c>
      <c r="P12" s="11" cm="1">
        <f t="array" ref="P12">_xll.BDH("SPX Index","PX_TO_EBITDA","CY 2020","CY 2020","Currency=USD","Period=CY","FUND_PER=Y","BEST_FPERIOD_OVERRIDE=1GY","FA_ADJUSTED=GAAP","Sort=A","Dates=H","DateFormat=P","Fill=—","Direction=H","UseDPDF=Y")</f>
        <v>15.8131</v>
      </c>
      <c r="Q12" s="11" cm="1">
        <f t="array" ref="Q12">_xll.BDH("SPX Index","PX_TO_EBITDA","CY 2021","CY 2021","Currency=USD","Period=CY","FUND_PER=Y","BEST_FPERIOD_OVERRIDE=1GY","FA_ADJUSTED=GAAP","Sort=A","Dates=H","DateFormat=P","Fill=—","Direction=H","UseDPDF=Y")</f>
        <v>15.388999999999999</v>
      </c>
      <c r="R12" s="11" cm="1">
        <f t="array" ref="R12">_xll.BDH("SPX Index","PX_TO_EBITDA","CY 2022","CY 2022","Currency=USD","Period=CY","FUND_PER=Y","BEST_FPERIOD_OVERRIDE=1GY","FA_ADJUSTED=GAAP","Sort=A","Dates=H","DateFormat=P","Fill=—","Direction=H","UseDPDF=Y")</f>
        <v>11.2544</v>
      </c>
      <c r="S12" s="11" cm="1">
        <f t="array" ref="S12">_xll.BDH("SPX Index","PX_TO_EBITDA","CY 2023","CY 2023","Currency=USD","Period=CY","FUND_PER=Y","BEST_FPERIOD_OVERRIDE=1GY","FA_ADJUSTED=GAAP","Sort=A","Dates=H","DateFormat=P","Fill=—","Direction=H","UseDPDF=Y")</f>
        <v>13.379799999999999</v>
      </c>
      <c r="T12" s="11" cm="1">
        <f t="array" ref="T12">_xll.BDH("SPX Index","PX_TO_EBITDA","CY 2024","CY 2024","Currency=USD","Period=CY","FUND_PER=Y","BEST_FPERIOD_OVERRIDE=1GY","FA_ADJUSTED=GAAP","Sort=A","Dates=H","DateFormat=P","Fill=—","Direction=H","UseDPDF=Y")</f>
        <v>14.976800000000001</v>
      </c>
      <c r="U12" s="11">
        <v>16.3436964343028</v>
      </c>
      <c r="V12" s="11">
        <v>14.0223899373088</v>
      </c>
    </row>
    <row r="13" spans="1:22">
      <c r="A13" s="9" t="s">
        <v>56</v>
      </c>
      <c r="B13" s="9" t="s">
        <v>57</v>
      </c>
      <c r="C13" s="11" cm="1">
        <f t="array" ref="C13">_xll.BDH("SPX Index","PX_TO_BOOK_RATIO","CY 2007","CY 2007","Currency=USD","Period=CY","FUND_PER=Y","BEST_FPERIOD_OVERRIDE=1GY","Sort=A","Dates=H","DateFormat=P","Fill=—","Direction=H","UseDPDF=Y")</f>
        <v>2.8197000000000001</v>
      </c>
      <c r="D13" s="11" cm="1">
        <f t="array" ref="D13">_xll.BDH("SPX Index","PX_TO_BOOK_RATIO","CY 2008","CY 2008","Currency=USD","Period=CY","FUND_PER=Y","BEST_FPERIOD_OVERRIDE=1GY","Sort=A","Dates=H","DateFormat=P","Fill=—","Direction=H","UseDPDF=Y")</f>
        <v>1.7931999999999999</v>
      </c>
      <c r="E13" s="11" cm="1">
        <f t="array" ref="E13">_xll.BDH("SPX Index","PX_TO_BOOK_RATIO","CY 2009","CY 2009","Currency=USD","Period=CY","FUND_PER=Y","BEST_FPERIOD_OVERRIDE=1GY","Sort=A","Dates=H","DateFormat=P","Fill=—","Direction=H","UseDPDF=Y")</f>
        <v>2.2646999999999999</v>
      </c>
      <c r="F13" s="11" cm="1">
        <f t="array" ref="F13">_xll.BDH("SPX Index","PX_TO_BOOK_RATIO","CY 2010","CY 2010","Currency=USD","Period=CY","FUND_PER=Y","BEST_FPERIOD_OVERRIDE=1GY","Sort=A","Dates=H","DateFormat=P","Fill=—","Direction=H","UseDPDF=Y")</f>
        <v>2.2477</v>
      </c>
      <c r="G13" s="11" cm="1">
        <f t="array" ref="G13">_xll.BDH("SPX Index","PX_TO_BOOK_RATIO","CY 2011","CY 2011","Currency=USD","Period=CY","FUND_PER=Y","BEST_FPERIOD_OVERRIDE=1GY","Sort=A","Dates=H","DateFormat=P","Fill=—","Direction=H","UseDPDF=Y")</f>
        <v>2.0701999999999998</v>
      </c>
      <c r="H13" s="11" cm="1">
        <f t="array" ref="H13">_xll.BDH("SPX Index","PX_TO_BOOK_RATIO","CY 2012","CY 2012","Currency=USD","Period=CY","FUND_PER=Y","BEST_FPERIOD_OVERRIDE=1GY","Sort=A","Dates=H","DateFormat=P","Fill=—","Direction=H","UseDPDF=Y")</f>
        <v>2.1678999999999999</v>
      </c>
      <c r="I13" s="11" cm="1">
        <f t="array" ref="I13">_xll.BDH("SPX Index","PX_TO_BOOK_RATIO","CY 2013","CY 2013","Currency=USD","Period=CY","FUND_PER=Y","BEST_FPERIOD_OVERRIDE=1GY","Sort=A","Dates=H","DateFormat=P","Fill=—","Direction=H","UseDPDF=Y")</f>
        <v>2.6760999999999999</v>
      </c>
      <c r="J13" s="11" cm="1">
        <f t="array" ref="J13">_xll.BDH("SPX Index","PX_TO_BOOK_RATIO","CY 2014","CY 2014","Currency=USD","Period=CY","FUND_PER=Y","BEST_FPERIOD_OVERRIDE=1GY","Sort=A","Dates=H","DateFormat=P","Fill=—","Direction=H","UseDPDF=Y")</f>
        <v>2.8037999999999998</v>
      </c>
      <c r="K13" s="11" cm="1">
        <f t="array" ref="K13">_xll.BDH("SPX Index","PX_TO_BOOK_RATIO","CY 2015","CY 2015","Currency=USD","Period=CY","FUND_PER=Y","BEST_FPERIOD_OVERRIDE=1GY","Sort=A","Dates=H","DateFormat=P","Fill=—","Direction=H","UseDPDF=Y")</f>
        <v>2.7824</v>
      </c>
      <c r="L13" s="11" cm="1">
        <f t="array" ref="L13">_xll.BDH("SPX Index","PX_TO_BOOK_RATIO","CY 2016","CY 2016","Currency=USD","Period=CY","FUND_PER=Y","BEST_FPERIOD_OVERRIDE=1GY","Sort=A","Dates=H","DateFormat=P","Fill=—","Direction=H","UseDPDF=Y")</f>
        <v>2.9140999999999999</v>
      </c>
      <c r="M13" s="11" cm="1">
        <f t="array" ref="M13">_xll.BDH("SPX Index","PX_TO_BOOK_RATIO","CY 2017","CY 2017","Currency=USD","Period=CY","FUND_PER=Y","BEST_FPERIOD_OVERRIDE=1GY","Sort=A","Dates=H","DateFormat=P","Fill=—","Direction=H","UseDPDF=Y")</f>
        <v>3.3290999999999999</v>
      </c>
      <c r="N13" s="11" cm="1">
        <f t="array" ref="N13">_xll.BDH("SPX Index","PX_TO_BOOK_RATIO","CY 2018","CY 2018","Currency=USD","Period=CY","FUND_PER=Y","BEST_FPERIOD_OVERRIDE=1GY","Sort=A","Dates=H","DateFormat=P","Fill=—","Direction=H","UseDPDF=Y")</f>
        <v>3.0217999999999998</v>
      </c>
      <c r="O13" s="11" cm="1">
        <f t="array" ref="O13">_xll.BDH("SPX Index","PX_TO_BOOK_RATIO","CY 2019","CY 2019","Currency=USD","Period=CY","FUND_PER=Y","BEST_FPERIOD_OVERRIDE=1GY","Sort=A","Dates=H","DateFormat=P","Fill=—","Direction=H","UseDPDF=Y")</f>
        <v>3.6360999999999999</v>
      </c>
      <c r="P13" s="11" cm="1">
        <f t="array" ref="P13">_xll.BDH("SPX Index","PX_TO_BOOK_RATIO","CY 2020","CY 2020","Currency=USD","Period=CY","FUND_PER=Y","BEST_FPERIOD_OVERRIDE=1GY","Sort=A","Dates=H","DateFormat=P","Fill=—","Direction=H","UseDPDF=Y")</f>
        <v>4.1520000000000001</v>
      </c>
      <c r="Q13" s="11" cm="1">
        <f t="array" ref="Q13">_xll.BDH("SPX Index","PX_TO_BOOK_RATIO","CY 2021","CY 2021","Currency=USD","Period=CY","FUND_PER=Y","BEST_FPERIOD_OVERRIDE=1GY","Sort=A","Dates=H","DateFormat=P","Fill=—","Direction=H","UseDPDF=Y")</f>
        <v>4.9226999999999999</v>
      </c>
      <c r="R13" s="11" cm="1">
        <f t="array" ref="R13">_xll.BDH("SPX Index","PX_TO_BOOK_RATIO","CY 2022","CY 2022","Currency=USD","Period=CY","FUND_PER=Y","BEST_FPERIOD_OVERRIDE=1GY","Sort=A","Dates=H","DateFormat=P","Fill=—","Direction=H","UseDPDF=Y")</f>
        <v>3.9144000000000001</v>
      </c>
      <c r="S13" s="11" cm="1">
        <f t="array" ref="S13">_xll.BDH("SPX Index","PX_TO_BOOK_RATIO","CY 2023","CY 2023","Currency=USD","Period=CY","FUND_PER=Y","BEST_FPERIOD_OVERRIDE=1GY","Sort=A","Dates=H","DateFormat=P","Fill=—","Direction=H","UseDPDF=Y")</f>
        <v>4.4927000000000001</v>
      </c>
      <c r="T13" s="11" cm="1">
        <f t="array" ref="T13">_xll.BDH("SPX Index","PX_TO_BOOK_RATIO","CY 2024","CY 2024","Currency=USD","Period=CY","FUND_PER=Y","BEST_FPERIOD_OVERRIDE=1GY","Sort=A","Dates=H","DateFormat=P","Fill=—","Direction=H","UseDPDF=Y")</f>
        <v>5.1101000000000001</v>
      </c>
      <c r="U13" s="11">
        <v>5.3076520121074102</v>
      </c>
      <c r="V13" s="11">
        <v>4.7087228498491696</v>
      </c>
    </row>
    <row r="14" spans="1:22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spans="1:22">
      <c r="A15" s="9" t="s">
        <v>58</v>
      </c>
      <c r="B15" s="9" t="s">
        <v>59</v>
      </c>
      <c r="C15" s="11" cm="1">
        <f t="array" ref="C15">_xll.BDH("SPX Index","CURRENT_EV_TO_12M_SALES","CY 2007","CY 2007","Currency=USD","Period=CY","FUND_PER=Y","BEST_FPERIOD_OVERRIDE=1GY","FA_ADJUSTED=GAAP","Sort=A","Dates=H","DateFormat=P","Fill=—","Direction=H","UseDPDF=Y")</f>
        <v>2.3677000000000001</v>
      </c>
      <c r="D15" s="11" cm="1">
        <f t="array" ref="D15">_xll.BDH("SPX Index","CURRENT_EV_TO_12M_SALES","CY 2008","CY 2008","Currency=USD","Period=CY","FUND_PER=Y","BEST_FPERIOD_OVERRIDE=1GY","FA_ADJUSTED=GAAP","Sort=A","Dates=H","DateFormat=P","Fill=—","Direction=H","UseDPDF=Y")</f>
        <v>1.4151</v>
      </c>
      <c r="E15" s="11" cm="1">
        <f t="array" ref="E15">_xll.BDH("SPX Index","CURRENT_EV_TO_12M_SALES","CY 2009","CY 2009","Currency=USD","Period=CY","FUND_PER=Y","BEST_FPERIOD_OVERRIDE=1GY","FA_ADJUSTED=GAAP","Sort=A","Dates=H","DateFormat=P","Fill=—","Direction=H","UseDPDF=Y")</f>
        <v>1.7022999999999999</v>
      </c>
      <c r="F15" s="11" cm="1">
        <f t="array" ref="F15">_xll.BDH("SPX Index","CURRENT_EV_TO_12M_SALES","CY 2010","CY 2010","Currency=USD","Period=CY","FUND_PER=Y","BEST_FPERIOD_OVERRIDE=1GY","FA_ADJUSTED=GAAP","Sort=A","Dates=H","DateFormat=P","Fill=—","Direction=H","UseDPDF=Y")</f>
        <v>1.7490000000000001</v>
      </c>
      <c r="G15" s="11" cm="1">
        <f t="array" ref="G15">_xll.BDH("SPX Index","CURRENT_EV_TO_12M_SALES","CY 2011","CY 2011","Currency=USD","Period=CY","FUND_PER=Y","BEST_FPERIOD_OVERRIDE=1GY","FA_ADJUSTED=GAAP","Sort=A","Dates=H","DateFormat=P","Fill=—","Direction=H","UseDPDF=Y")</f>
        <v>1.4963</v>
      </c>
      <c r="H15" s="11" cm="1">
        <f t="array" ref="H15">_xll.BDH("SPX Index","CURRENT_EV_TO_12M_SALES","CY 2012","CY 2012","Currency=USD","Period=CY","FUND_PER=Y","BEST_FPERIOD_OVERRIDE=1GY","FA_ADJUSTED=GAAP","Sort=A","Dates=H","DateFormat=P","Fill=—","Direction=H","UseDPDF=Y")</f>
        <v>1.6014999999999999</v>
      </c>
      <c r="I15" s="11" cm="1">
        <f t="array" ref="I15">_xll.BDH("SPX Index","CURRENT_EV_TO_12M_SALES","CY 2013","CY 2013","Currency=USD","Period=CY","FUND_PER=Y","BEST_FPERIOD_OVERRIDE=1GY","FA_ADJUSTED=GAAP","Sort=A","Dates=H","DateFormat=P","Fill=—","Direction=H","UseDPDF=Y")</f>
        <v>1.8623000000000001</v>
      </c>
      <c r="J15" s="11" cm="1">
        <f t="array" ref="J15">_xll.BDH("SPX Index","CURRENT_EV_TO_12M_SALES","CY 2014","CY 2014","Currency=USD","Period=CY","FUND_PER=Y","BEST_FPERIOD_OVERRIDE=1GY","FA_ADJUSTED=GAAP","Sort=A","Dates=H","DateFormat=P","Fill=—","Direction=H","UseDPDF=Y")</f>
        <v>1.9873000000000001</v>
      </c>
      <c r="K15" s="11" cm="1">
        <f t="array" ref="K15">_xll.BDH("SPX Index","CURRENT_EV_TO_12M_SALES","CY 2015","CY 2015","Currency=USD","Period=CY","FUND_PER=Y","BEST_FPERIOD_OVERRIDE=1GY","FA_ADJUSTED=GAAP","Sort=A","Dates=H","DateFormat=P","Fill=—","Direction=H","UseDPDF=Y")</f>
        <v>2.0325000000000002</v>
      </c>
      <c r="L15" s="11" cm="1">
        <f t="array" ref="L15">_xll.BDH("SPX Index","CURRENT_EV_TO_12M_SALES","CY 2016","CY 2016","Currency=USD","Period=CY","FUND_PER=Y","BEST_FPERIOD_OVERRIDE=1GY","FA_ADJUSTED=GAAP","Sort=A","Dates=H","DateFormat=P","Fill=—","Direction=H","UseDPDF=Y")</f>
        <v>2.2462</v>
      </c>
      <c r="M15" s="11" cm="1">
        <f t="array" ref="M15">_xll.BDH("SPX Index","CURRENT_EV_TO_12M_SALES","CY 2017","CY 2017","Currency=USD","Period=CY","FUND_PER=Y","BEST_FPERIOD_OVERRIDE=1GY","FA_ADJUSTED=GAAP","Sort=A","Dates=H","DateFormat=P","Fill=—","Direction=H","UseDPDF=Y")</f>
        <v>2.4983</v>
      </c>
      <c r="N15" s="11" cm="1">
        <f t="array" ref="N15">_xll.BDH("SPX Index","CURRENT_EV_TO_12M_SALES","CY 2018","CY 2018","Currency=USD","Period=CY","FUND_PER=Y","BEST_FPERIOD_OVERRIDE=1GY","FA_ADJUSTED=GAAP","Sort=A","Dates=H","DateFormat=P","Fill=—","Direction=H","UseDPDF=Y")</f>
        <v>2.1486999999999998</v>
      </c>
      <c r="O15" s="11" cm="1">
        <f t="array" ref="O15">_xll.BDH("SPX Index","CURRENT_EV_TO_12M_SALES","CY 2019","CY 2019","Currency=USD","Period=CY","FUND_PER=Y","BEST_FPERIOD_OVERRIDE=1GY","FA_ADJUSTED=GAAP","Sort=A","Dates=H","DateFormat=P","Fill=—","Direction=H","UseDPDF=Y")</f>
        <v>2.6577999999999999</v>
      </c>
      <c r="P15" s="11" cm="1">
        <f t="array" ref="P15">_xll.BDH("SPX Index","CURRENT_EV_TO_12M_SALES","CY 2020","CY 2020","Currency=USD","Period=CY","FUND_PER=Y","BEST_FPERIOD_OVERRIDE=1GY","FA_ADJUSTED=GAAP","Sort=A","Dates=H","DateFormat=P","Fill=—","Direction=H","UseDPDF=Y")</f>
        <v>3.0789</v>
      </c>
      <c r="Q15" s="11" cm="1">
        <f t="array" ref="Q15">_xll.BDH("SPX Index","CURRENT_EV_TO_12M_SALES","CY 2021","CY 2021","Currency=USD","Period=CY","FUND_PER=Y","BEST_FPERIOD_OVERRIDE=1GY","FA_ADJUSTED=GAAP","Sort=A","Dates=H","DateFormat=P","Fill=—","Direction=H","UseDPDF=Y")</f>
        <v>3.3687</v>
      </c>
      <c r="R15" s="11" cm="1">
        <f t="array" ref="R15">_xll.BDH("SPX Index","CURRENT_EV_TO_12M_SALES","CY 2022","CY 2022","Currency=USD","Period=CY","FUND_PER=Y","BEST_FPERIOD_OVERRIDE=1GY","FA_ADJUSTED=GAAP","Sort=A","Dates=H","DateFormat=P","Fill=—","Direction=H","UseDPDF=Y")</f>
        <v>2.4693999999999998</v>
      </c>
      <c r="S15" s="11" cm="1">
        <f t="array" ref="S15">_xll.BDH("SPX Index","CURRENT_EV_TO_12M_SALES","CY 2023","CY 2023","Currency=USD","Period=CY","FUND_PER=Y","BEST_FPERIOD_OVERRIDE=1GY","FA_ADJUSTED=GAAP","Sort=A","Dates=H","DateFormat=P","Fill=—","Direction=H","UseDPDF=Y")</f>
        <v>2.8696999999999999</v>
      </c>
      <c r="T15" s="11" cm="1">
        <f t="array" ref="T15">_xll.BDH("SPX Index","CURRENT_EV_TO_12M_SALES","CY 2024","CY 2024","Currency=USD","Period=CY","FUND_PER=Y","BEST_FPERIOD_OVERRIDE=1GY","FA_ADJUSTED=GAAP","Sort=A","Dates=H","DateFormat=P","Fill=—","Direction=H","UseDPDF=Y")</f>
        <v>3.3283999999999998</v>
      </c>
      <c r="U15" s="11"/>
      <c r="V15" s="11"/>
    </row>
    <row r="16" spans="1:22">
      <c r="A16" s="9" t="s">
        <v>60</v>
      </c>
      <c r="B16" s="9" t="s">
        <v>61</v>
      </c>
      <c r="C16" s="11" cm="1">
        <f t="array" ref="C16">_xll.BDH("SPX Index","CURRENT_EV_TO_T12M_EBIT","CY 2007","CY 2007","Currency=USD","Period=CY","FUND_PER=Y","BEST_FPERIOD_OVERRIDE=1GY","FA_ADJUSTED=GAAP","Sort=A","Dates=H","DateFormat=P","Fill=—","Direction=H","UseDPDF=Y")</f>
        <v>17.9162</v>
      </c>
      <c r="D16" s="11" cm="1">
        <f t="array" ref="D16">_xll.BDH("SPX Index","CURRENT_EV_TO_T12M_EBIT","CY 2008","CY 2008","Currency=USD","Period=CY","FUND_PER=Y","BEST_FPERIOD_OVERRIDE=1GY","FA_ADJUSTED=GAAP","Sort=A","Dates=H","DateFormat=P","Fill=—","Direction=H","UseDPDF=Y")</f>
        <v>13.9038</v>
      </c>
      <c r="E16" s="11" cm="1">
        <f t="array" ref="E16">_xll.BDH("SPX Index","CURRENT_EV_TO_T12M_EBIT","CY 2009","CY 2009","Currency=USD","Period=CY","FUND_PER=Y","BEST_FPERIOD_OVERRIDE=1GY","FA_ADJUSTED=GAAP","Sort=A","Dates=H","DateFormat=P","Fill=—","Direction=H","UseDPDF=Y")</f>
        <v>19.7622</v>
      </c>
      <c r="F16" s="11" cm="1">
        <f t="array" ref="F16">_xll.BDH("SPX Index","CURRENT_EV_TO_T12M_EBIT","CY 2010","CY 2010","Currency=USD","Period=CY","FUND_PER=Y","BEST_FPERIOD_OVERRIDE=1GY","FA_ADJUSTED=GAAP","Sort=A","Dates=H","DateFormat=P","Fill=—","Direction=H","UseDPDF=Y")</f>
        <v>14.045400000000001</v>
      </c>
      <c r="G16" s="11" cm="1">
        <f t="array" ref="G16">_xll.BDH("SPX Index","CURRENT_EV_TO_T12M_EBIT","CY 2011","CY 2011","Currency=USD","Period=CY","FUND_PER=Y","BEST_FPERIOD_OVERRIDE=1GY","FA_ADJUSTED=GAAP","Sort=A","Dates=H","DateFormat=P","Fill=—","Direction=H","UseDPDF=Y")</f>
        <v>11.2781</v>
      </c>
      <c r="H16" s="11" cm="1">
        <f t="array" ref="H16">_xll.BDH("SPX Index","CURRENT_EV_TO_T12M_EBIT","CY 2012","CY 2012","Currency=USD","Period=CY","FUND_PER=Y","BEST_FPERIOD_OVERRIDE=1GY","FA_ADJUSTED=GAAP","Sort=A","Dates=H","DateFormat=P","Fill=—","Direction=H","UseDPDF=Y")</f>
        <v>12.5839</v>
      </c>
      <c r="I16" s="11" cm="1">
        <f t="array" ref="I16">_xll.BDH("SPX Index","CURRENT_EV_TO_T12M_EBIT","CY 2013","CY 2013","Currency=USD","Period=CY","FUND_PER=Y","BEST_FPERIOD_OVERRIDE=1GY","FA_ADJUSTED=GAAP","Sort=A","Dates=H","DateFormat=P","Fill=—","Direction=H","UseDPDF=Y")</f>
        <v>14.7796</v>
      </c>
      <c r="J16" s="11" cm="1">
        <f t="array" ref="J16">_xll.BDH("SPX Index","CURRENT_EV_TO_T12M_EBIT","CY 2014","CY 2014","Currency=USD","Period=CY","FUND_PER=Y","BEST_FPERIOD_OVERRIDE=1GY","FA_ADJUSTED=GAAP","Sort=A","Dates=H","DateFormat=P","Fill=—","Direction=H","UseDPDF=Y")</f>
        <v>14.3941</v>
      </c>
      <c r="K16" s="11" cm="1">
        <f t="array" ref="K16">_xll.BDH("SPX Index","CURRENT_EV_TO_T12M_EBIT","CY 2015","CY 2015","Currency=USD","Period=CY","FUND_PER=Y","BEST_FPERIOD_OVERRIDE=1GY","FA_ADJUSTED=GAAP","Sort=A","Dates=H","DateFormat=P","Fill=—","Direction=H","UseDPDF=Y")</f>
        <v>16.6843</v>
      </c>
      <c r="L16" s="11" cm="1">
        <f t="array" ref="L16">_xll.BDH("SPX Index","CURRENT_EV_TO_T12M_EBIT","CY 2016","CY 2016","Currency=USD","Period=CY","FUND_PER=Y","BEST_FPERIOD_OVERRIDE=1GY","FA_ADJUSTED=GAAP","Sort=A","Dates=H","DateFormat=P","Fill=—","Direction=H","UseDPDF=Y")</f>
        <v>18.391300000000001</v>
      </c>
      <c r="M16" s="11" cm="1">
        <f t="array" ref="M16">_xll.BDH("SPX Index","CURRENT_EV_TO_T12M_EBIT","CY 2017","CY 2017","Currency=USD","Period=CY","FUND_PER=Y","BEST_FPERIOD_OVERRIDE=1GY","FA_ADJUSTED=GAAP","Sort=A","Dates=H","DateFormat=P","Fill=—","Direction=H","UseDPDF=Y")</f>
        <v>18.7987</v>
      </c>
      <c r="N16" s="11" cm="1">
        <f t="array" ref="N16">_xll.BDH("SPX Index","CURRENT_EV_TO_T12M_EBIT","CY 2018","CY 2018","Currency=USD","Period=CY","FUND_PER=Y","BEST_FPERIOD_OVERRIDE=1GY","FA_ADJUSTED=GAAP","Sort=A","Dates=H","DateFormat=P","Fill=—","Direction=H","UseDPDF=Y")</f>
        <v>15.9979</v>
      </c>
      <c r="O16" s="11" cm="1">
        <f t="array" ref="O16">_xll.BDH("SPX Index","CURRENT_EV_TO_T12M_EBIT","CY 2019","CY 2019","Currency=USD","Period=CY","FUND_PER=Y","BEST_FPERIOD_OVERRIDE=1GY","FA_ADJUSTED=GAAP","Sort=A","Dates=H","DateFormat=P","Fill=—","Direction=H","UseDPDF=Y")</f>
        <v>20.443300000000001</v>
      </c>
      <c r="P16" s="11" cm="1">
        <f t="array" ref="P16">_xll.BDH("SPX Index","CURRENT_EV_TO_T12M_EBIT","CY 2020","CY 2020","Currency=USD","Period=CY","FUND_PER=Y","BEST_FPERIOD_OVERRIDE=1GY","FA_ADJUSTED=GAAP","Sort=A","Dates=H","DateFormat=P","Fill=—","Direction=H","UseDPDF=Y")</f>
        <v>28.727799999999998</v>
      </c>
      <c r="Q16" s="11" cm="1">
        <f t="array" ref="Q16">_xll.BDH("SPX Index","CURRENT_EV_TO_T12M_EBIT","CY 2021","CY 2021","Currency=USD","Period=CY","FUND_PER=Y","BEST_FPERIOD_OVERRIDE=1GY","FA_ADJUSTED=GAAP","Sort=A","Dates=H","DateFormat=P","Fill=—","Direction=H","UseDPDF=Y")</f>
        <v>22.345700000000001</v>
      </c>
      <c r="R16" s="11" cm="1">
        <f t="array" ref="R16">_xll.BDH("SPX Index","CURRENT_EV_TO_T12M_EBIT","CY 2022","CY 2022","Currency=USD","Period=CY","FUND_PER=Y","BEST_FPERIOD_OVERRIDE=1GY","FA_ADJUSTED=GAAP","Sort=A","Dates=H","DateFormat=P","Fill=—","Direction=H","UseDPDF=Y")</f>
        <v>16.977399999999999</v>
      </c>
      <c r="S16" s="11" cm="1">
        <f t="array" ref="S16">_xll.BDH("SPX Index","CURRENT_EV_TO_T12M_EBIT","CY 2023","CY 2023","Currency=USD","Period=CY","FUND_PER=Y","BEST_FPERIOD_OVERRIDE=1GY","FA_ADJUSTED=GAAP","Sort=A","Dates=H","DateFormat=P","Fill=—","Direction=H","UseDPDF=Y")</f>
        <v>21.276800000000001</v>
      </c>
      <c r="T16" s="11" cm="1">
        <f t="array" ref="T16">_xll.BDH("SPX Index","CURRENT_EV_TO_T12M_EBIT","CY 2024","CY 2024","Currency=USD","Period=CY","FUND_PER=Y","BEST_FPERIOD_OVERRIDE=1GY","FA_ADJUSTED=GAAP","Sort=A","Dates=H","DateFormat=P","Fill=—","Direction=H","UseDPDF=Y")</f>
        <v>23.9848</v>
      </c>
      <c r="U16" s="11"/>
      <c r="V16" s="11"/>
    </row>
    <row r="17" spans="1:22">
      <c r="A17" s="9" t="s">
        <v>62</v>
      </c>
      <c r="B17" s="9" t="s">
        <v>63</v>
      </c>
      <c r="C17" s="11" cm="1">
        <f t="array" ref="C17">_xll.BDH("SPX Index","CURRENT_EV_TO_T12M_EBITDA","CY 2007","CY 2007","Currency=USD","Period=CY","FUND_PER=Y","BEST_FPERIOD_OVERRIDE=1GY","FA_ADJUSTED=GAAP","Sort=A","Dates=H","DateFormat=P","Fill=—","Direction=H","UseDPDF=Y")</f>
        <v>11.2027</v>
      </c>
      <c r="D17" s="11" cm="1">
        <f t="array" ref="D17">_xll.BDH("SPX Index","CURRENT_EV_TO_T12M_EBITDA","CY 2008","CY 2008","Currency=USD","Period=CY","FUND_PER=Y","BEST_FPERIOD_OVERRIDE=1GY","FA_ADJUSTED=GAAP","Sort=A","Dates=H","DateFormat=P","Fill=—","Direction=H","UseDPDF=Y")</f>
        <v>7.7050000000000001</v>
      </c>
      <c r="E17" s="11" cm="1">
        <f t="array" ref="E17">_xll.BDH("SPX Index","CURRENT_EV_TO_T12M_EBITDA","CY 2009","CY 2009","Currency=USD","Period=CY","FUND_PER=Y","BEST_FPERIOD_OVERRIDE=1GY","FA_ADJUSTED=GAAP","Sort=A","Dates=H","DateFormat=P","Fill=—","Direction=H","UseDPDF=Y")</f>
        <v>10.9955</v>
      </c>
      <c r="F17" s="11" cm="1">
        <f t="array" ref="F17">_xll.BDH("SPX Index","CURRENT_EV_TO_T12M_EBITDA","CY 2010","CY 2010","Currency=USD","Period=CY","FUND_PER=Y","BEST_FPERIOD_OVERRIDE=1GY","FA_ADJUSTED=GAAP","Sort=A","Dates=H","DateFormat=P","Fill=—","Direction=H","UseDPDF=Y")</f>
        <v>9.7865000000000002</v>
      </c>
      <c r="G17" s="11" cm="1">
        <f t="array" ref="G17">_xll.BDH("SPX Index","CURRENT_EV_TO_T12M_EBITDA","CY 2011","CY 2011","Currency=USD","Period=CY","FUND_PER=Y","BEST_FPERIOD_OVERRIDE=1GY","FA_ADJUSTED=GAAP","Sort=A","Dates=H","DateFormat=P","Fill=—","Direction=H","UseDPDF=Y")</f>
        <v>8.2423000000000002</v>
      </c>
      <c r="H17" s="11" cm="1">
        <f t="array" ref="H17">_xll.BDH("SPX Index","CURRENT_EV_TO_T12M_EBITDA","CY 2012","CY 2012","Currency=USD","Period=CY","FUND_PER=Y","BEST_FPERIOD_OVERRIDE=1GY","FA_ADJUSTED=GAAP","Sort=A","Dates=H","DateFormat=P","Fill=—","Direction=H","UseDPDF=Y")</f>
        <v>9.1305999999999994</v>
      </c>
      <c r="I17" s="11" cm="1">
        <f t="array" ref="I17">_xll.BDH("SPX Index","CURRENT_EV_TO_T12M_EBITDA","CY 2013","CY 2013","Currency=USD","Period=CY","FUND_PER=Y","BEST_FPERIOD_OVERRIDE=1GY","FA_ADJUSTED=GAAP","Sort=A","Dates=H","DateFormat=P","Fill=—","Direction=H","UseDPDF=Y")</f>
        <v>10.579599999999999</v>
      </c>
      <c r="J17" s="11" cm="1">
        <f t="array" ref="J17">_xll.BDH("SPX Index","CURRENT_EV_TO_T12M_EBITDA","CY 2014","CY 2014","Currency=USD","Period=CY","FUND_PER=Y","BEST_FPERIOD_OVERRIDE=1GY","FA_ADJUSTED=GAAP","Sort=A","Dates=H","DateFormat=P","Fill=—","Direction=H","UseDPDF=Y")</f>
        <v>10.5122</v>
      </c>
      <c r="K17" s="11" cm="1">
        <f t="array" ref="K17">_xll.BDH("SPX Index","CURRENT_EV_TO_T12M_EBITDA","CY 2015","CY 2015","Currency=USD","Period=CY","FUND_PER=Y","BEST_FPERIOD_OVERRIDE=1GY","FA_ADJUSTED=GAAP","Sort=A","Dates=H","DateFormat=P","Fill=—","Direction=H","UseDPDF=Y")</f>
        <v>11.750400000000001</v>
      </c>
      <c r="L17" s="11" cm="1">
        <f t="array" ref="L17">_xll.BDH("SPX Index","CURRENT_EV_TO_T12M_EBITDA","CY 2016","CY 2016","Currency=USD","Period=CY","FUND_PER=Y","BEST_FPERIOD_OVERRIDE=1GY","FA_ADJUSTED=GAAP","Sort=A","Dates=H","DateFormat=P","Fill=—","Direction=H","UseDPDF=Y")</f>
        <v>12.7608</v>
      </c>
      <c r="M17" s="11" cm="1">
        <f t="array" ref="M17">_xll.BDH("SPX Index","CURRENT_EV_TO_T12M_EBITDA","CY 2017","CY 2017","Currency=USD","Period=CY","FUND_PER=Y","BEST_FPERIOD_OVERRIDE=1GY","FA_ADJUSTED=GAAP","Sort=A","Dates=H","DateFormat=P","Fill=—","Direction=H","UseDPDF=Y")</f>
        <v>13.116300000000001</v>
      </c>
      <c r="N17" s="11" cm="1">
        <f t="array" ref="N17">_xll.BDH("SPX Index","CURRENT_EV_TO_T12M_EBITDA","CY 2018","CY 2018","Currency=USD","Period=CY","FUND_PER=Y","BEST_FPERIOD_OVERRIDE=1GY","FA_ADJUSTED=GAAP","Sort=A","Dates=H","DateFormat=P","Fill=—","Direction=H","UseDPDF=Y")</f>
        <v>11.2342</v>
      </c>
      <c r="O17" s="11" cm="1">
        <f t="array" ref="O17">_xll.BDH("SPX Index","CURRENT_EV_TO_T12M_EBITDA","CY 2019","CY 2019","Currency=USD","Period=CY","FUND_PER=Y","BEST_FPERIOD_OVERRIDE=1GY","FA_ADJUSTED=GAAP","Sort=A","Dates=H","DateFormat=P","Fill=—","Direction=H","UseDPDF=Y")</f>
        <v>13.8248</v>
      </c>
      <c r="P17" s="11" cm="1">
        <f t="array" ref="P17">_xll.BDH("SPX Index","CURRENT_EV_TO_T12M_EBITDA","CY 2020","CY 2020","Currency=USD","Period=CY","FUND_PER=Y","BEST_FPERIOD_OVERRIDE=1GY","FA_ADJUSTED=GAAP","Sort=A","Dates=H","DateFormat=P","Fill=—","Direction=H","UseDPDF=Y")</f>
        <v>17.691700000000001</v>
      </c>
      <c r="Q17" s="11" cm="1">
        <f t="array" ref="Q17">_xll.BDH("SPX Index","CURRENT_EV_TO_T12M_EBITDA","CY 2021","CY 2021","Currency=USD","Period=CY","FUND_PER=Y","BEST_FPERIOD_OVERRIDE=1GY","FA_ADJUSTED=GAAP","Sort=A","Dates=H","DateFormat=P","Fill=—","Direction=H","UseDPDF=Y")</f>
        <v>16.403099999999998</v>
      </c>
      <c r="R17" s="11" cm="1">
        <f t="array" ref="R17">_xll.BDH("SPX Index","CURRENT_EV_TO_T12M_EBITDA","CY 2022","CY 2022","Currency=USD","Period=CY","FUND_PER=Y","BEST_FPERIOD_OVERRIDE=1GY","FA_ADJUSTED=GAAP","Sort=A","Dates=H","DateFormat=P","Fill=—","Direction=H","UseDPDF=Y")</f>
        <v>12.465299999999999</v>
      </c>
      <c r="S17" s="11" cm="1">
        <f t="array" ref="S17">_xll.BDH("SPX Index","CURRENT_EV_TO_T12M_EBITDA","CY 2023","CY 2023","Currency=USD","Period=CY","FUND_PER=Y","BEST_FPERIOD_OVERRIDE=1GY","FA_ADJUSTED=GAAP","Sort=A","Dates=H","DateFormat=P","Fill=—","Direction=H","UseDPDF=Y")</f>
        <v>14.8293</v>
      </c>
      <c r="T17" s="11" cm="1">
        <f t="array" ref="T17">_xll.BDH("SPX Index","CURRENT_EV_TO_T12M_EBITDA","CY 2024","CY 2024","Currency=USD","Period=CY","FUND_PER=Y","BEST_FPERIOD_OVERRIDE=1GY","FA_ADJUSTED=GAAP","Sort=A","Dates=H","DateFormat=P","Fill=—","Direction=H","UseDPDF=Y")</f>
        <v>16.4999</v>
      </c>
      <c r="U17" s="11">
        <v>18.013940331332801</v>
      </c>
      <c r="V17" s="11">
        <v>15.38100537305</v>
      </c>
    </row>
    <row r="18" spans="1:22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1:22">
      <c r="A19" s="9" t="s">
        <v>64</v>
      </c>
      <c r="B19" s="9" t="s">
        <v>65</v>
      </c>
      <c r="C19" s="11" cm="1">
        <f t="array" ref="C19">_xll.BDH("SPX Index","EQY_DVD_YLD_12M","CY 2007","CY 2007","Currency=USD","Period=CY","FUND_PER=Y","BEST_FPERIOD_OVERRIDE=1GY","Sort=A","Dates=H","DateFormat=P","Fill=—","Direction=H","UseDPDF=Y")</f>
        <v>1.9333</v>
      </c>
      <c r="D19" s="11" cm="1">
        <f t="array" ref="D19">_xll.BDH("SPX Index","EQY_DVD_YLD_12M","CY 2008","CY 2008","Currency=USD","Period=CY","FUND_PER=Y","BEST_FPERIOD_OVERRIDE=1GY","Sort=A","Dates=H","DateFormat=P","Fill=—","Direction=H","UseDPDF=Y")</f>
        <v>3.1511</v>
      </c>
      <c r="E19" s="11" cm="1">
        <f t="array" ref="E19">_xll.BDH("SPX Index","EQY_DVD_YLD_12M","CY 2009","CY 2009","Currency=USD","Period=CY","FUND_PER=Y","BEST_FPERIOD_OVERRIDE=1GY","Sort=A","Dates=H","DateFormat=P","Fill=—","Direction=H","UseDPDF=Y")</f>
        <v>2.1156999999999999</v>
      </c>
      <c r="F19" s="11" cm="1">
        <f t="array" ref="F19">_xll.BDH("SPX Index","EQY_DVD_YLD_12M","CY 2010","CY 2010","Currency=USD","Period=CY","FUND_PER=Y","BEST_FPERIOD_OVERRIDE=1GY","Sort=A","Dates=H","DateFormat=P","Fill=—","Direction=H","UseDPDF=Y")</f>
        <v>1.8761000000000001</v>
      </c>
      <c r="G19" s="11" cm="1">
        <f t="array" ref="G19">_xll.BDH("SPX Index","EQY_DVD_YLD_12M","CY 2011","CY 2011","Currency=USD","Period=CY","FUND_PER=Y","BEST_FPERIOD_OVERRIDE=1GY","Sort=A","Dates=H","DateFormat=P","Fill=—","Direction=H","UseDPDF=Y")</f>
        <v>2.1164000000000001</v>
      </c>
      <c r="H19" s="11" cm="1">
        <f t="array" ref="H19">_xll.BDH("SPX Index","EQY_DVD_YLD_12M","CY 2012","CY 2012","Currency=USD","Period=CY","FUND_PER=Y","BEST_FPERIOD_OVERRIDE=1GY","Sort=A","Dates=H","DateFormat=P","Fill=—","Direction=H","UseDPDF=Y")</f>
        <v>2.2416</v>
      </c>
      <c r="I19" s="11" cm="1">
        <f t="array" ref="I19">_xll.BDH("SPX Index","EQY_DVD_YLD_12M","CY 2013","CY 2013","Currency=USD","Period=CY","FUND_PER=Y","BEST_FPERIOD_OVERRIDE=1GY","Sort=A","Dates=H","DateFormat=P","Fill=—","Direction=H","UseDPDF=Y")</f>
        <v>1.8934</v>
      </c>
      <c r="J19" s="11" cm="1">
        <f t="array" ref="J19">_xll.BDH("SPX Index","EQY_DVD_YLD_12M","CY 2014","CY 2014","Currency=USD","Period=CY","FUND_PER=Y","BEST_FPERIOD_OVERRIDE=1GY","Sort=A","Dates=H","DateFormat=P","Fill=—","Direction=H","UseDPDF=Y")</f>
        <v>1.9504999999999999</v>
      </c>
      <c r="K19" s="11" cm="1">
        <f t="array" ref="K19">_xll.BDH("SPX Index","EQY_DVD_YLD_12M","CY 2015","CY 2015","Currency=USD","Period=CY","FUND_PER=Y","BEST_FPERIOD_OVERRIDE=1GY","Sort=A","Dates=H","DateFormat=P","Fill=—","Direction=H","UseDPDF=Y")</f>
        <v>2.1461000000000001</v>
      </c>
      <c r="L19" s="11" cm="1">
        <f t="array" ref="L19">_xll.BDH("SPX Index","EQY_DVD_YLD_12M","CY 2016","CY 2016","Currency=USD","Period=CY","FUND_PER=Y","BEST_FPERIOD_OVERRIDE=1GY","Sort=A","Dates=H","DateFormat=P","Fill=—","Direction=H","UseDPDF=Y")</f>
        <v>2.0872000000000002</v>
      </c>
      <c r="M19" s="11" cm="1">
        <f t="array" ref="M19">_xll.BDH("SPX Index","EQY_DVD_YLD_12M","CY 2017","CY 2017","Currency=USD","Period=CY","FUND_PER=Y","BEST_FPERIOD_OVERRIDE=1GY","Sort=A","Dates=H","DateFormat=P","Fill=—","Direction=H","UseDPDF=Y")</f>
        <v>1.8877999999999999</v>
      </c>
      <c r="N19" s="11" cm="1">
        <f t="array" ref="N19">_xll.BDH("SPX Index","EQY_DVD_YLD_12M","CY 2018","CY 2018","Currency=USD","Period=CY","FUND_PER=Y","BEST_FPERIOD_OVERRIDE=1GY","Sort=A","Dates=H","DateFormat=P","Fill=—","Direction=H","UseDPDF=Y")</f>
        <v>2.1484999999999999</v>
      </c>
      <c r="O19" s="11" cm="1">
        <f t="array" ref="O19">_xll.BDH("SPX Index","EQY_DVD_YLD_12M","CY 2019","CY 2019","Currency=USD","Period=CY","FUND_PER=Y","BEST_FPERIOD_OVERRIDE=1GY","Sort=A","Dates=H","DateFormat=P","Fill=—","Direction=H","UseDPDF=Y")</f>
        <v>1.8165</v>
      </c>
      <c r="P19" s="11" cm="1">
        <f t="array" ref="P19">_xll.BDH("SPX Index","EQY_DVD_YLD_12M","CY 2020","CY 2020","Currency=USD","Period=CY","FUND_PER=Y","BEST_FPERIOD_OVERRIDE=1GY","Sort=A","Dates=H","DateFormat=P","Fill=—","Direction=H","UseDPDF=Y")</f>
        <v>1.5693999999999999</v>
      </c>
      <c r="Q19" s="11" cm="1">
        <f t="array" ref="Q19">_xll.BDH("SPX Index","EQY_DVD_YLD_12M","CY 2021","CY 2021","Currency=USD","Period=CY","FUND_PER=Y","BEST_FPERIOD_OVERRIDE=1GY","Sort=A","Dates=H","DateFormat=P","Fill=—","Direction=H","UseDPDF=Y")</f>
        <v>1.2701</v>
      </c>
      <c r="R19" s="11" cm="1">
        <f t="array" ref="R19">_xll.BDH("SPX Index","EQY_DVD_YLD_12M","CY 2022","CY 2022","Currency=USD","Period=CY","FUND_PER=Y","BEST_FPERIOD_OVERRIDE=1GY","Sort=A","Dates=H","DateFormat=P","Fill=—","Direction=H","UseDPDF=Y")</f>
        <v>1.7599</v>
      </c>
      <c r="S19" s="11" cm="1">
        <f t="array" ref="S19">_xll.BDH("SPX Index","EQY_DVD_YLD_12M","CY 2023","CY 2023","Currency=USD","Period=CY","FUND_PER=Y","BEST_FPERIOD_OVERRIDE=1GY","Sort=A","Dates=H","DateFormat=P","Fill=—","Direction=H","UseDPDF=Y")</f>
        <v>1.4865999999999999</v>
      </c>
      <c r="T19" s="11" cm="1">
        <f t="array" ref="T19">_xll.BDH("SPX Index","EQY_DVD_YLD_12M","CY 2024","CY 2024","Currency=USD","Period=CY","FUND_PER=Y","BEST_FPERIOD_OVERRIDE=1GY","Sort=A","Dates=H","DateFormat=P","Fill=—","Direction=H","UseDPDF=Y")</f>
        <v>1.2685</v>
      </c>
      <c r="U19" s="11">
        <v>1.1747250340531801</v>
      </c>
      <c r="V19" s="11">
        <v>1.2306891170038701</v>
      </c>
    </row>
    <row r="20" spans="1:22">
      <c r="A20" s="9" t="s">
        <v>66</v>
      </c>
      <c r="B20" s="9" t="s">
        <v>67</v>
      </c>
      <c r="C20" s="11" cm="1">
        <f t="array" ref="C20">_xll.BDH("SPX Index","GROSS_AGGTE_DVD_YLD","CY 2007","CY 2007","Currency=USD","Period=CY","FUND_PER=Y","BEST_FPERIOD_OVERRIDE=1GY","Sort=A","Dates=H","DateFormat=P","Fill=—","Direction=H","UseDPDF=Y")</f>
        <v>1.93</v>
      </c>
      <c r="D20" s="11" cm="1">
        <f t="array" ref="D20">_xll.BDH("SPX Index","GROSS_AGGTE_DVD_YLD","CY 2008","CY 2008","Currency=USD","Period=CY","FUND_PER=Y","BEST_FPERIOD_OVERRIDE=1GY","Sort=A","Dates=H","DateFormat=P","Fill=—","Direction=H","UseDPDF=Y")</f>
        <v>3.15</v>
      </c>
      <c r="E20" s="11" cm="1">
        <f t="array" ref="E20">_xll.BDH("SPX Index","GROSS_AGGTE_DVD_YLD","CY 2009","CY 2009","Currency=USD","Period=CY","FUND_PER=Y","BEST_FPERIOD_OVERRIDE=1GY","Sort=A","Dates=H","DateFormat=P","Fill=—","Direction=H","UseDPDF=Y")</f>
        <v>2.12</v>
      </c>
      <c r="F20" s="11" cm="1">
        <f t="array" ref="F20">_xll.BDH("SPX Index","GROSS_AGGTE_DVD_YLD","CY 2010","CY 2010","Currency=USD","Period=CY","FUND_PER=Y","BEST_FPERIOD_OVERRIDE=1GY","Sort=A","Dates=H","DateFormat=P","Fill=—","Direction=H","UseDPDF=Y")</f>
        <v>1.88</v>
      </c>
      <c r="G20" s="11" cm="1">
        <f t="array" ref="G20">_xll.BDH("SPX Index","GROSS_AGGTE_DVD_YLD","CY 2011","CY 2011","Currency=USD","Period=CY","FUND_PER=Y","BEST_FPERIOD_OVERRIDE=1GY","Sort=A","Dates=H","DateFormat=P","Fill=—","Direction=H","UseDPDF=Y")</f>
        <v>2.12</v>
      </c>
      <c r="H20" s="11" cm="1">
        <f t="array" ref="H20">_xll.BDH("SPX Index","GROSS_AGGTE_DVD_YLD","CY 2012","CY 2012","Currency=USD","Period=CY","FUND_PER=Y","BEST_FPERIOD_OVERRIDE=1GY","Sort=A","Dates=H","DateFormat=P","Fill=—","Direction=H","UseDPDF=Y")</f>
        <v>2.2400000000000002</v>
      </c>
      <c r="I20" s="11" cm="1">
        <f t="array" ref="I20">_xll.BDH("SPX Index","GROSS_AGGTE_DVD_YLD","CY 2013","CY 2013","Currency=USD","Period=CY","FUND_PER=Y","BEST_FPERIOD_OVERRIDE=1GY","Sort=A","Dates=H","DateFormat=P","Fill=—","Direction=H","UseDPDF=Y")</f>
        <v>1.89</v>
      </c>
      <c r="J20" s="11" cm="1">
        <f t="array" ref="J20">_xll.BDH("SPX Index","GROSS_AGGTE_DVD_YLD","CY 2014","CY 2014","Currency=USD","Period=CY","FUND_PER=Y","BEST_FPERIOD_OVERRIDE=1GY","Sort=A","Dates=H","DateFormat=P","Fill=—","Direction=H","UseDPDF=Y")</f>
        <v>1.95</v>
      </c>
      <c r="K20" s="11" cm="1">
        <f t="array" ref="K20">_xll.BDH("SPX Index","GROSS_AGGTE_DVD_YLD","CY 2015","CY 2015","Currency=USD","Period=CY","FUND_PER=Y","BEST_FPERIOD_OVERRIDE=1GY","Sort=A","Dates=H","DateFormat=P","Fill=—","Direction=H","UseDPDF=Y")</f>
        <v>2.15</v>
      </c>
      <c r="L20" s="11" cm="1">
        <f t="array" ref="L20">_xll.BDH("SPX Index","GROSS_AGGTE_DVD_YLD","CY 2016","CY 2016","Currency=USD","Period=CY","FUND_PER=Y","BEST_FPERIOD_OVERRIDE=1GY","Sort=A","Dates=H","DateFormat=P","Fill=—","Direction=H","UseDPDF=Y")</f>
        <v>2.09</v>
      </c>
      <c r="M20" s="11" cm="1">
        <f t="array" ref="M20">_xll.BDH("SPX Index","GROSS_AGGTE_DVD_YLD","CY 2017","CY 2017","Currency=USD","Period=CY","FUND_PER=Y","BEST_FPERIOD_OVERRIDE=1GY","Sort=A","Dates=H","DateFormat=P","Fill=—","Direction=H","UseDPDF=Y")</f>
        <v>1.89</v>
      </c>
      <c r="N20" s="11" cm="1">
        <f t="array" ref="N20">_xll.BDH("SPX Index","GROSS_AGGTE_DVD_YLD","CY 2018","CY 2018","Currency=USD","Period=CY","FUND_PER=Y","BEST_FPERIOD_OVERRIDE=1GY","Sort=A","Dates=H","DateFormat=P","Fill=—","Direction=H","UseDPDF=Y")</f>
        <v>2.15</v>
      </c>
      <c r="O20" s="11" cm="1">
        <f t="array" ref="O20">_xll.BDH("SPX Index","GROSS_AGGTE_DVD_YLD","CY 2019","CY 2019","Currency=USD","Period=CY","FUND_PER=Y","BEST_FPERIOD_OVERRIDE=1GY","Sort=A","Dates=H","DateFormat=P","Fill=—","Direction=H","UseDPDF=Y")</f>
        <v>1.82</v>
      </c>
      <c r="P20" s="11" cm="1">
        <f t="array" ref="P20">_xll.BDH("SPX Index","GROSS_AGGTE_DVD_YLD","CY 2020","CY 2020","Currency=USD","Period=CY","FUND_PER=Y","BEST_FPERIOD_OVERRIDE=1GY","Sort=A","Dates=H","DateFormat=P","Fill=—","Direction=H","UseDPDF=Y")</f>
        <v>1.57</v>
      </c>
      <c r="Q20" s="11" cm="1">
        <f t="array" ref="Q20">_xll.BDH("SPX Index","GROSS_AGGTE_DVD_YLD","CY 2021","CY 2021","Currency=USD","Period=CY","FUND_PER=Y","BEST_FPERIOD_OVERRIDE=1GY","Sort=A","Dates=H","DateFormat=P","Fill=—","Direction=H","UseDPDF=Y")</f>
        <v>1.27</v>
      </c>
      <c r="R20" s="11" cm="1">
        <f t="array" ref="R20">_xll.BDH("SPX Index","GROSS_AGGTE_DVD_YLD","CY 2022","CY 2022","Currency=USD","Period=CY","FUND_PER=Y","BEST_FPERIOD_OVERRIDE=1GY","Sort=A","Dates=H","DateFormat=P","Fill=—","Direction=H","UseDPDF=Y")</f>
        <v>1.76</v>
      </c>
      <c r="S20" s="11" cm="1">
        <f t="array" ref="S20">_xll.BDH("SPX Index","GROSS_AGGTE_DVD_YLD","CY 2023","CY 2023","Currency=USD","Period=CY","FUND_PER=Y","BEST_FPERIOD_OVERRIDE=1GY","Sort=A","Dates=H","DateFormat=P","Fill=—","Direction=H","UseDPDF=Y")</f>
        <v>1.49</v>
      </c>
      <c r="T20" s="11" cm="1">
        <f t="array" ref="T20">_xll.BDH("SPX Index","GROSS_AGGTE_DVD_YLD","CY 2024","CY 2024","Currency=USD","Period=CY","FUND_PER=Y","BEST_FPERIOD_OVERRIDE=1GY","Sort=A","Dates=H","DateFormat=P","Fill=—","Direction=H","UseDPDF=Y")</f>
        <v>1.27</v>
      </c>
      <c r="U20" s="11"/>
      <c r="V20" s="11"/>
    </row>
    <row r="21" spans="1:22">
      <c r="A21" s="9" t="s">
        <v>68</v>
      </c>
      <c r="B21" s="9" t="s">
        <v>69</v>
      </c>
      <c r="C21" s="11" cm="1">
        <f t="array" ref="C21">_xll.BDH("SPX Index","NET_AGGTE_DVD_YLD","CY 2007","CY 2007","Currency=USD","Period=CY","FUND_PER=Y","BEST_FPERIOD_OVERRIDE=1GY","Sort=A","Dates=H","DateFormat=P","Fill=—","Direction=H","UseDPDF=Y")</f>
        <v>1.93</v>
      </c>
      <c r="D21" s="11" cm="1">
        <f t="array" ref="D21">_xll.BDH("SPX Index","NET_AGGTE_DVD_YLD","CY 2008","CY 2008","Currency=USD","Period=CY","FUND_PER=Y","BEST_FPERIOD_OVERRIDE=1GY","Sort=A","Dates=H","DateFormat=P","Fill=—","Direction=H","UseDPDF=Y")</f>
        <v>3.15</v>
      </c>
      <c r="E21" s="11" cm="1">
        <f t="array" ref="E21">_xll.BDH("SPX Index","NET_AGGTE_DVD_YLD","CY 2009","CY 2009","Currency=USD","Period=CY","FUND_PER=Y","BEST_FPERIOD_OVERRIDE=1GY","Sort=A","Dates=H","DateFormat=P","Fill=—","Direction=H","UseDPDF=Y")</f>
        <v>2.12</v>
      </c>
      <c r="F21" s="11" cm="1">
        <f t="array" ref="F21">_xll.BDH("SPX Index","NET_AGGTE_DVD_YLD","CY 2010","CY 2010","Currency=USD","Period=CY","FUND_PER=Y","BEST_FPERIOD_OVERRIDE=1GY","Sort=A","Dates=H","DateFormat=P","Fill=—","Direction=H","UseDPDF=Y")</f>
        <v>1.88</v>
      </c>
      <c r="G21" s="11" cm="1">
        <f t="array" ref="G21">_xll.BDH("SPX Index","NET_AGGTE_DVD_YLD","CY 2011","CY 2011","Currency=USD","Period=CY","FUND_PER=Y","BEST_FPERIOD_OVERRIDE=1GY","Sort=A","Dates=H","DateFormat=P","Fill=—","Direction=H","UseDPDF=Y")</f>
        <v>2.12</v>
      </c>
      <c r="H21" s="11" cm="1">
        <f t="array" ref="H21">_xll.BDH("SPX Index","NET_AGGTE_DVD_YLD","CY 2012","CY 2012","Currency=USD","Period=CY","FUND_PER=Y","BEST_FPERIOD_OVERRIDE=1GY","Sort=A","Dates=H","DateFormat=P","Fill=—","Direction=H","UseDPDF=Y")</f>
        <v>2.2400000000000002</v>
      </c>
      <c r="I21" s="11" cm="1">
        <f t="array" ref="I21">_xll.BDH("SPX Index","NET_AGGTE_DVD_YLD","CY 2013","CY 2013","Currency=USD","Period=CY","FUND_PER=Y","BEST_FPERIOD_OVERRIDE=1GY","Sort=A","Dates=H","DateFormat=P","Fill=—","Direction=H","UseDPDF=Y")</f>
        <v>1.89</v>
      </c>
      <c r="J21" s="11" cm="1">
        <f t="array" ref="J21">_xll.BDH("SPX Index","NET_AGGTE_DVD_YLD","CY 2014","CY 2014","Currency=USD","Period=CY","FUND_PER=Y","BEST_FPERIOD_OVERRIDE=1GY","Sort=A","Dates=H","DateFormat=P","Fill=—","Direction=H","UseDPDF=Y")</f>
        <v>1.95</v>
      </c>
      <c r="K21" s="11" cm="1">
        <f t="array" ref="K21">_xll.BDH("SPX Index","NET_AGGTE_DVD_YLD","CY 2015","CY 2015","Currency=USD","Period=CY","FUND_PER=Y","BEST_FPERIOD_OVERRIDE=1GY","Sort=A","Dates=H","DateFormat=P","Fill=—","Direction=H","UseDPDF=Y")</f>
        <v>2.15</v>
      </c>
      <c r="L21" s="11" cm="1">
        <f t="array" ref="L21">_xll.BDH("SPX Index","NET_AGGTE_DVD_YLD","CY 2016","CY 2016","Currency=USD","Period=CY","FUND_PER=Y","BEST_FPERIOD_OVERRIDE=1GY","Sort=A","Dates=H","DateFormat=P","Fill=—","Direction=H","UseDPDF=Y")</f>
        <v>2.09</v>
      </c>
      <c r="M21" s="11" cm="1">
        <f t="array" ref="M21">_xll.BDH("SPX Index","NET_AGGTE_DVD_YLD","CY 2017","CY 2017","Currency=USD","Period=CY","FUND_PER=Y","BEST_FPERIOD_OVERRIDE=1GY","Sort=A","Dates=H","DateFormat=P","Fill=—","Direction=H","UseDPDF=Y")</f>
        <v>1.89</v>
      </c>
      <c r="N21" s="11" cm="1">
        <f t="array" ref="N21">_xll.BDH("SPX Index","NET_AGGTE_DVD_YLD","CY 2018","CY 2018","Currency=USD","Period=CY","FUND_PER=Y","BEST_FPERIOD_OVERRIDE=1GY","Sort=A","Dates=H","DateFormat=P","Fill=—","Direction=H","UseDPDF=Y")</f>
        <v>2.15</v>
      </c>
      <c r="O21" s="11" cm="1">
        <f t="array" ref="O21">_xll.BDH("SPX Index","NET_AGGTE_DVD_YLD","CY 2019","CY 2019","Currency=USD","Period=CY","FUND_PER=Y","BEST_FPERIOD_OVERRIDE=1GY","Sort=A","Dates=H","DateFormat=P","Fill=—","Direction=H","UseDPDF=Y")</f>
        <v>1.82</v>
      </c>
      <c r="P21" s="11" cm="1">
        <f t="array" ref="P21">_xll.BDH("SPX Index","NET_AGGTE_DVD_YLD","CY 2020","CY 2020","Currency=USD","Period=CY","FUND_PER=Y","BEST_FPERIOD_OVERRIDE=1GY","Sort=A","Dates=H","DateFormat=P","Fill=—","Direction=H","UseDPDF=Y")</f>
        <v>1.57</v>
      </c>
      <c r="Q21" s="11" cm="1">
        <f t="array" ref="Q21">_xll.BDH("SPX Index","NET_AGGTE_DVD_YLD","CY 2021","CY 2021","Currency=USD","Period=CY","FUND_PER=Y","BEST_FPERIOD_OVERRIDE=1GY","Sort=A","Dates=H","DateFormat=P","Fill=—","Direction=H","UseDPDF=Y")</f>
        <v>1.27</v>
      </c>
      <c r="R21" s="11" cm="1">
        <f t="array" ref="R21">_xll.BDH("SPX Index","NET_AGGTE_DVD_YLD","CY 2022","CY 2022","Currency=USD","Period=CY","FUND_PER=Y","BEST_FPERIOD_OVERRIDE=1GY","Sort=A","Dates=H","DateFormat=P","Fill=—","Direction=H","UseDPDF=Y")</f>
        <v>1.76</v>
      </c>
      <c r="S21" s="11" cm="1">
        <f t="array" ref="S21">_xll.BDH("SPX Index","NET_AGGTE_DVD_YLD","CY 2023","CY 2023","Currency=USD","Period=CY","FUND_PER=Y","BEST_FPERIOD_OVERRIDE=1GY","Sort=A","Dates=H","DateFormat=P","Fill=—","Direction=H","UseDPDF=Y")</f>
        <v>1.49</v>
      </c>
      <c r="T21" s="11" cm="1">
        <f t="array" ref="T21">_xll.BDH("SPX Index","NET_AGGTE_DVD_YLD","CY 2024","CY 2024","Currency=USD","Period=CY","FUND_PER=Y","BEST_FPERIOD_OVERRIDE=1GY","Sort=A","Dates=H","DateFormat=P","Fill=—","Direction=H","UseDPDF=Y")</f>
        <v>1.27</v>
      </c>
      <c r="U21" s="11"/>
      <c r="V21" s="11"/>
    </row>
    <row r="22" spans="1:22">
      <c r="A22" s="9" t="s">
        <v>70</v>
      </c>
      <c r="B22" s="9" t="s">
        <v>71</v>
      </c>
      <c r="C22" s="11" cm="1">
        <f t="array" ref="C22">_xll.BDH("SPX Index","FREE_CASH_FLOW_YIELD","CY 2007","CY 2007","Currency=USD","Period=CY","FUND_PER=Y","BEST_FPERIOD_OVERRIDE=1GY","Sort=A","Dates=H","DateFormat=P","Fill=—","Direction=H","UseDPDF=Y")</f>
        <v>-0.28339999999999999</v>
      </c>
      <c r="D22" s="11" cm="1">
        <f t="array" ref="D22">_xll.BDH("SPX Index","FREE_CASH_FLOW_YIELD","CY 2008","CY 2008","Currency=USD","Period=CY","FUND_PER=Y","BEST_FPERIOD_OVERRIDE=1GY","Sort=A","Dates=H","DateFormat=P","Fill=—","Direction=H","UseDPDF=Y")</f>
        <v>9.0505999999999993</v>
      </c>
      <c r="E22" s="11" cm="1">
        <f t="array" ref="E22">_xll.BDH("SPX Index","FREE_CASH_FLOW_YIELD","CY 2009","CY 2009","Currency=USD","Period=CY","FUND_PER=Y","BEST_FPERIOD_OVERRIDE=1GY","Sort=A","Dates=H","DateFormat=P","Fill=—","Direction=H","UseDPDF=Y")</f>
        <v>6.1654999999999998</v>
      </c>
      <c r="F22" s="11" cm="1">
        <f t="array" ref="F22">_xll.BDH("SPX Index","FREE_CASH_FLOW_YIELD","CY 2010","CY 2010","Currency=USD","Period=CY","FUND_PER=Y","BEST_FPERIOD_OVERRIDE=1GY","Sort=A","Dates=H","DateFormat=P","Fill=—","Direction=H","UseDPDF=Y")</f>
        <v>6.6759000000000004</v>
      </c>
      <c r="G22" s="11" cm="1">
        <f t="array" ref="G22">_xll.BDH("SPX Index","FREE_CASH_FLOW_YIELD","CY 2011","CY 2011","Currency=USD","Period=CY","FUND_PER=Y","BEST_FPERIOD_OVERRIDE=1GY","Sort=A","Dates=H","DateFormat=P","Fill=—","Direction=H","UseDPDF=Y")</f>
        <v>7.202</v>
      </c>
      <c r="H22" s="11" cm="1">
        <f t="array" ref="H22">_xll.BDH("SPX Index","FREE_CASH_FLOW_YIELD","CY 2012","CY 2012","Currency=USD","Period=CY","FUND_PER=Y","BEST_FPERIOD_OVERRIDE=1GY","Sort=A","Dates=H","DateFormat=P","Fill=—","Direction=H","UseDPDF=Y")</f>
        <v>6.4566999999999997</v>
      </c>
      <c r="I22" s="11" cm="1">
        <f t="array" ref="I22">_xll.BDH("SPX Index","FREE_CASH_FLOW_YIELD","CY 2013","CY 2013","Currency=USD","Period=CY","FUND_PER=Y","BEST_FPERIOD_OVERRIDE=1GY","Sort=A","Dates=H","DateFormat=P","Fill=—","Direction=H","UseDPDF=Y")</f>
        <v>5.3315999999999999</v>
      </c>
      <c r="J22" s="11" cm="1">
        <f t="array" ref="J22">_xll.BDH("SPX Index","FREE_CASH_FLOW_YIELD","CY 2014","CY 2014","Currency=USD","Period=CY","FUND_PER=Y","BEST_FPERIOD_OVERRIDE=1GY","Sort=A","Dates=H","DateFormat=P","Fill=—","Direction=H","UseDPDF=Y")</f>
        <v>4.8106</v>
      </c>
      <c r="K22" s="11" cm="1">
        <f t="array" ref="K22">_xll.BDH("SPX Index","FREE_CASH_FLOW_YIELD","CY 2015","CY 2015","Currency=USD","Period=CY","FUND_PER=Y","BEST_FPERIOD_OVERRIDE=1GY","Sort=A","Dates=H","DateFormat=P","Fill=—","Direction=H","UseDPDF=Y")</f>
        <v>5.0759999999999996</v>
      </c>
      <c r="L22" s="11" cm="1">
        <f t="array" ref="L22">_xll.BDH("SPX Index","FREE_CASH_FLOW_YIELD","CY 2016","CY 2016","Currency=USD","Period=CY","FUND_PER=Y","BEST_FPERIOD_OVERRIDE=1GY","Sort=A","Dates=H","DateFormat=P","Fill=—","Direction=H","UseDPDF=Y")</f>
        <v>4.7511999999999999</v>
      </c>
      <c r="M22" s="11" cm="1">
        <f t="array" ref="M22">_xll.BDH("SPX Index","FREE_CASH_FLOW_YIELD","CY 2017","CY 2017","Currency=USD","Period=CY","FUND_PER=Y","BEST_FPERIOD_OVERRIDE=1GY","Sort=A","Dates=H","DateFormat=P","Fill=—","Direction=H","UseDPDF=Y")</f>
        <v>4.2176</v>
      </c>
      <c r="N22" s="11" cm="1">
        <f t="array" ref="N22">_xll.BDH("SPX Index","FREE_CASH_FLOW_YIELD","CY 2018","CY 2018","Currency=USD","Period=CY","FUND_PER=Y","BEST_FPERIOD_OVERRIDE=1GY","Sort=A","Dates=H","DateFormat=P","Fill=—","Direction=H","UseDPDF=Y")</f>
        <v>5.2457000000000003</v>
      </c>
      <c r="O22" s="11" cm="1">
        <f t="array" ref="O22">_xll.BDH("SPX Index","FREE_CASH_FLOW_YIELD","CY 2019","CY 2019","Currency=USD","Period=CY","FUND_PER=Y","BEST_FPERIOD_OVERRIDE=1GY","Sort=A","Dates=H","DateFormat=P","Fill=—","Direction=H","UseDPDF=Y")</f>
        <v>4.1353999999999997</v>
      </c>
      <c r="P22" s="11" cm="1">
        <f t="array" ref="P22">_xll.BDH("SPX Index","FREE_CASH_FLOW_YIELD","CY 2020","CY 2020","Currency=USD","Period=CY","FUND_PER=Y","BEST_FPERIOD_OVERRIDE=1GY","Sort=A","Dates=H","DateFormat=P","Fill=—","Direction=H","UseDPDF=Y")</f>
        <v>3.8264999999999998</v>
      </c>
      <c r="Q22" s="11" cm="1">
        <f t="array" ref="Q22">_xll.BDH("SPX Index","FREE_CASH_FLOW_YIELD","CY 2021","CY 2021","Currency=USD","Period=CY","FUND_PER=Y","BEST_FPERIOD_OVERRIDE=1GY","Sort=A","Dates=H","DateFormat=P","Fill=—","Direction=H","UseDPDF=Y")</f>
        <v>3.7467999999999999</v>
      </c>
      <c r="R22" s="11" cm="1">
        <f t="array" ref="R22">_xll.BDH("SPX Index","FREE_CASH_FLOW_YIELD","CY 2022","CY 2022","Currency=USD","Period=CY","FUND_PER=Y","BEST_FPERIOD_OVERRIDE=1GY","Sort=A","Dates=H","DateFormat=P","Fill=—","Direction=H","UseDPDF=Y")</f>
        <v>4.5029000000000003</v>
      </c>
      <c r="S22" s="11" cm="1">
        <f t="array" ref="S22">_xll.BDH("SPX Index","FREE_CASH_FLOW_YIELD","CY 2023","CY 2023","Currency=USD","Period=CY","FUND_PER=Y","BEST_FPERIOD_OVERRIDE=1GY","Sort=A","Dates=H","DateFormat=P","Fill=—","Direction=H","UseDPDF=Y")</f>
        <v>3.5066000000000002</v>
      </c>
      <c r="T22" s="11" cm="1">
        <f t="array" ref="T22">_xll.BDH("SPX Index","FREE_CASH_FLOW_YIELD","CY 2024","CY 2024","Currency=USD","Period=CY","FUND_PER=Y","BEST_FPERIOD_OVERRIDE=1GY","Sort=A","Dates=H","DateFormat=P","Fill=—","Direction=H","UseDPDF=Y")</f>
        <v>2.8269000000000002</v>
      </c>
      <c r="U22" s="11"/>
      <c r="V22" s="11"/>
    </row>
    <row r="23" spans="1:22">
      <c r="A23" s="6" t="s">
        <v>72</v>
      </c>
      <c r="B23" s="6"/>
      <c r="C23" s="6" t="s">
        <v>73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>Elisa Massano</cp:lastModifiedBy>
  <cp:revision/>
  <dcterms:created xsi:type="dcterms:W3CDTF">2013-04-03T15:49:21Z</dcterms:created>
  <dcterms:modified xsi:type="dcterms:W3CDTF">2025-12-04T18:39:55Z</dcterms:modified>
  <cp:category/>
  <cp:contentStatus/>
</cp:coreProperties>
</file>