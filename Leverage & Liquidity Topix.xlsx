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828132\Downloads\"/>
    </mc:Choice>
  </mc:AlternateContent>
  <xr:revisionPtr revIDLastSave="0" documentId="8_{44BFD89A-BEA8-4A66-850D-AB3705A7FF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verage &amp; Liquidi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 a="1"/>
  <c r="D8" i="2" a="1"/>
  <c r="M8" i="2" a="1"/>
  <c r="H12" i="2" a="1"/>
  <c r="H10" i="2" a="1"/>
  <c r="H11" i="2" a="1"/>
  <c r="O8" i="2" a="1"/>
  <c r="H6" i="2" a="1"/>
  <c r="T11" i="2" a="1"/>
  <c r="C6" i="2" a="1"/>
  <c r="T6" i="2" a="1"/>
  <c r="T12" i="2" a="1"/>
  <c r="C11" i="2" a="1"/>
  <c r="T10" i="2" a="1"/>
  <c r="C12" i="2" a="1"/>
  <c r="C10" i="2" a="1"/>
  <c r="F6" i="2" a="1"/>
  <c r="G6" i="2" a="1"/>
  <c r="G10" i="2" a="1"/>
  <c r="F11" i="2" a="1"/>
  <c r="F12" i="2" a="1"/>
  <c r="F10" i="2" a="1"/>
  <c r="G12" i="2" a="1"/>
  <c r="G11" i="2" a="1"/>
  <c r="Q11" i="2" a="1"/>
  <c r="L12" i="2" a="1"/>
  <c r="Q12" i="2" a="1"/>
  <c r="L11" i="2" a="1"/>
  <c r="Q6" i="2" a="1"/>
  <c r="J12" i="2" a="1"/>
  <c r="Q10" i="2" a="1"/>
  <c r="J11" i="2" a="1"/>
  <c r="N12" i="2" a="1"/>
  <c r="J6" i="2" a="1"/>
  <c r="N6" i="2" a="1"/>
  <c r="J10" i="2" a="1"/>
  <c r="N10" i="2" a="1"/>
  <c r="O12" i="2" a="1"/>
  <c r="N11" i="2" a="1"/>
  <c r="O11" i="2" a="1"/>
  <c r="E11" i="2" a="1"/>
  <c r="O10" i="2" a="1"/>
  <c r="E12" i="2" a="1"/>
  <c r="O6" i="2" a="1"/>
  <c r="E10" i="2" a="1"/>
  <c r="E6" i="2" a="1"/>
  <c r="L10" i="2" a="1"/>
  <c r="L6" i="2" a="1"/>
  <c r="S12" i="2" a="1"/>
  <c r="I11" i="2" a="1"/>
  <c r="R11" i="2" a="1"/>
  <c r="D11" i="2" a="1"/>
  <c r="D12" i="2" a="1"/>
  <c r="I10" i="2" a="1"/>
  <c r="S11" i="2" a="1"/>
  <c r="S6" i="2" a="1"/>
  <c r="R10" i="2" a="1"/>
  <c r="D10" i="2" a="1"/>
  <c r="I12" i="2" a="1"/>
  <c r="S10" i="2" a="1"/>
  <c r="R6" i="2" a="1"/>
  <c r="R12" i="2" a="1"/>
  <c r="D6" i="2" a="1"/>
  <c r="I6" i="2" a="1"/>
  <c r="N8" i="2" a="1"/>
  <c r="P12" i="2" a="1"/>
  <c r="P10" i="2" a="1"/>
  <c r="P6" i="2" a="1"/>
  <c r="P11" i="2" a="1"/>
  <c r="K10" i="2" a="1"/>
  <c r="K6" i="2" a="1"/>
  <c r="M6" i="2" a="1"/>
  <c r="K12" i="2" a="1"/>
  <c r="K11" i="2" a="1"/>
  <c r="M10" i="2" a="1"/>
  <c r="M11" i="2" a="1"/>
  <c r="I8" i="2" a="1"/>
  <c r="C8" i="2" a="1"/>
  <c r="M12" i="2" a="1"/>
  <c r="S8" i="2" a="1"/>
  <c r="G8" i="2" a="1"/>
  <c r="T8" i="2" a="1"/>
  <c r="F8" i="2" a="1"/>
  <c r="K8" i="2" a="1"/>
  <c r="Q8" i="2" a="1"/>
  <c r="L8" i="2" a="1"/>
  <c r="P8" i="2" a="1"/>
  <c r="H8" i="2" a="1"/>
  <c r="R8" i="2" a="1"/>
  <c r="E8" i="2" a="1"/>
  <c r="J8" i="2" l="1"/>
  <c r="H6" i="2"/>
  <c r="O8" i="2"/>
  <c r="H11" i="2"/>
  <c r="H10" i="2"/>
  <c r="H12" i="2"/>
  <c r="M8" i="2"/>
  <c r="D8" i="2"/>
  <c r="C10" i="2"/>
  <c r="C12" i="2"/>
  <c r="T10" i="2"/>
  <c r="C11" i="2"/>
  <c r="T12" i="2"/>
  <c r="T6" i="2"/>
  <c r="C6" i="2"/>
  <c r="T11" i="2"/>
  <c r="G11" i="2"/>
  <c r="G12" i="2"/>
  <c r="F10" i="2"/>
  <c r="F12" i="2"/>
  <c r="F11" i="2"/>
  <c r="G10" i="2"/>
  <c r="G6" i="2"/>
  <c r="F6" i="2"/>
  <c r="L6" i="2"/>
  <c r="L10" i="2"/>
  <c r="E6" i="2"/>
  <c r="E10" i="2"/>
  <c r="O6" i="2"/>
  <c r="E12" i="2"/>
  <c r="O10" i="2"/>
  <c r="E11" i="2"/>
  <c r="O11" i="2"/>
  <c r="N11" i="2"/>
  <c r="O12" i="2"/>
  <c r="N10" i="2"/>
  <c r="J10" i="2"/>
  <c r="N6" i="2"/>
  <c r="J6" i="2"/>
  <c r="N12" i="2"/>
  <c r="J11" i="2"/>
  <c r="Q10" i="2"/>
  <c r="J12" i="2"/>
  <c r="Q6" i="2"/>
  <c r="L11" i="2"/>
  <c r="Q12" i="2"/>
  <c r="L12" i="2"/>
  <c r="Q11" i="2"/>
  <c r="I6" i="2"/>
  <c r="D6" i="2"/>
  <c r="R12" i="2"/>
  <c r="R6" i="2"/>
  <c r="S10" i="2"/>
  <c r="I12" i="2"/>
  <c r="D10" i="2"/>
  <c r="R10" i="2"/>
  <c r="S6" i="2"/>
  <c r="S11" i="2"/>
  <c r="I10" i="2"/>
  <c r="D12" i="2"/>
  <c r="D11" i="2"/>
  <c r="R11" i="2"/>
  <c r="I11" i="2"/>
  <c r="S12" i="2"/>
  <c r="P11" i="2"/>
  <c r="P6" i="2"/>
  <c r="P10" i="2"/>
  <c r="P12" i="2"/>
  <c r="N8" i="2"/>
  <c r="S8" i="2"/>
  <c r="M12" i="2"/>
  <c r="C8" i="2"/>
  <c r="I8" i="2"/>
  <c r="M11" i="2"/>
  <c r="M10" i="2"/>
  <c r="K11" i="2"/>
  <c r="K12" i="2"/>
  <c r="M6" i="2"/>
  <c r="K6" i="2"/>
  <c r="K10" i="2"/>
  <c r="Q8" i="2"/>
  <c r="K8" i="2"/>
  <c r="F8" i="2"/>
  <c r="T8" i="2"/>
  <c r="G8" i="2"/>
  <c r="H8" i="2"/>
  <c r="P8" i="2"/>
  <c r="L8" i="2"/>
  <c r="E8" i="2"/>
  <c r="R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<sst xmlns="http://schemas.openxmlformats.org/spreadsheetml/2006/main" count="54" uniqueCount="54">
  <si>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Tokyo Stock Exchange Tokyo Stock Price Index TOPIX (TPX) - Leverage &amp; Liquidity</t>
  </si>
  <si>
    <t>CY 2007</t>
  </si>
  <si>
    <t>CY 2008</t>
  </si>
  <si>
    <t>CY 2009</t>
  </si>
  <si>
    <t>CY 2010</t>
  </si>
  <si>
    <t>CY 2011</t>
  </si>
  <si>
    <t>CY 2012</t>
  </si>
  <si>
    <t>CY 2013</t>
  </si>
  <si>
    <t>CY 2014</t>
  </si>
  <si>
    <t>CY 2015</t>
  </si>
  <si>
    <t>CY 2016</t>
  </si>
  <si>
    <t>CY 2017</t>
  </si>
  <si>
    <t>CY 2018</t>
  </si>
  <si>
    <t>CY 2019</t>
  </si>
  <si>
    <t>CY 2020</t>
  </si>
  <si>
    <t>CY 2021</t>
  </si>
  <si>
    <t>CY 2022</t>
  </si>
  <si>
    <t>CY 2023</t>
  </si>
  <si>
    <t>CY 2024</t>
  </si>
  <si>
    <t>CY 2025 Est</t>
  </si>
  <si>
    <t>CY 2026 Est</t>
  </si>
  <si>
    <t>12 Months Ending</t>
  </si>
  <si>
    <t>12/31/2007</t>
  </si>
  <si>
    <t>12/31/2008</t>
  </si>
  <si>
    <t>12/31/2009</t>
  </si>
  <si>
    <t>12/31/2010</t>
  </si>
  <si>
    <t>12/30/2011</t>
  </si>
  <si>
    <t>12/31/2012</t>
  </si>
  <si>
    <t>12/31/2013</t>
  </si>
  <si>
    <t>12/31/2014</t>
  </si>
  <si>
    <t>12/31/2015</t>
  </si>
  <si>
    <t>12/30/2016</t>
  </si>
  <si>
    <t>12/29/2017</t>
  </si>
  <si>
    <t>12/31/2018</t>
  </si>
  <si>
    <t>12/31/2019</t>
  </si>
  <si>
    <t>12/31/2020</t>
  </si>
  <si>
    <t>12/31/2021</t>
  </si>
  <si>
    <t>12/30/2022</t>
  </si>
  <si>
    <t>12/29/2023</t>
  </si>
  <si>
    <t>12/31/2024</t>
  </si>
  <si>
    <t>12/31/2025</t>
  </si>
  <si>
    <t>12/31/2026</t>
  </si>
  <si>
    <t>Current Ratio</t>
  </si>
  <si>
    <t>CUR_RATIO</t>
  </si>
  <si>
    <t>Net Debt to EBITDA</t>
  </si>
  <si>
    <t>NET_DEBT_TO_EBITDA</t>
  </si>
  <si>
    <t>Total Debt To EV</t>
  </si>
  <si>
    <t>TOTAL_DEBT_TO_CURRENT_EV</t>
  </si>
  <si>
    <t>Total Debt to Total Equity</t>
  </si>
  <si>
    <t>TOT_DEBT_TO_TOT_EQY</t>
  </si>
  <si>
    <t>Total Debt to Total Assets</t>
  </si>
  <si>
    <t>TOT_DEBT_TO_TOT_ASSET</t>
  </si>
  <si>
    <t>Source: Bloomberg</t>
  </si>
  <si>
    <t>Right click to show data transparency (not supported for all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</si>
</sst>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3">
    <xf numFmtId="0" fontId="0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15" fillId="3" borderId="0" applyNumberFormat="0" applyBorder="0" applyAlignment="0" applyProtection="0"/>
    <xf numFmtId="0" fontId="2" fillId="33" borderId="0"/>
    <xf numFmtId="0" fontId="19" fillId="6" borderId="9" applyNumberFormat="0" applyAlignment="0" applyProtection="0"/>
    <xf numFmtId="0" fontId="21" fillId="7" borderId="12" applyNumberFormat="0" applyAlignment="0" applyProtection="0"/>
    <xf numFmtId="0" fontId="23" fillId="0" borderId="0" applyNumberFormat="0" applyFill="0" applyBorder="0" applyAlignment="0" applyProtection="0"/>
    <xf numFmtId="0" fontId="6" fillId="33" borderId="1">
      <alignment horizontal="right"/>
    </xf>
    <xf numFmtId="0" fontId="5" fillId="34" borderId="0" applyNumberFormat="0" applyBorder="0" applyProtection="0">
      <alignment horizontal="center"/>
    </xf>
    <xf numFmtId="0" fontId="6" fillId="33" borderId="3">
      <alignment horizontal="right"/>
    </xf>
    <xf numFmtId="0" fontId="6" fillId="33" borderId="3">
      <alignment horizontal="left"/>
    </xf>
    <xf numFmtId="0" fontId="8" fillId="35" borderId="4" applyNumberFormat="0" applyAlignment="0" applyProtection="0"/>
    <xf numFmtId="0" fontId="7" fillId="34" borderId="5"/>
    <xf numFmtId="0" fontId="14" fillId="2" borderId="0" applyNumberFormat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7" fillId="5" borderId="9" applyNumberFormat="0" applyAlignment="0" applyProtection="0"/>
    <xf numFmtId="0" fontId="20" fillId="0" borderId="11" applyNumberFormat="0" applyFill="0" applyAlignment="0" applyProtection="0"/>
    <xf numFmtId="0" fontId="16" fillId="4" borderId="0" applyNumberFormat="0" applyBorder="0" applyAlignment="0" applyProtection="0"/>
    <xf numFmtId="0" fontId="9" fillId="8" borderId="13" applyNumberFormat="0" applyFont="0" applyAlignment="0" applyProtection="0"/>
    <xf numFmtId="0" fontId="18" fillId="6" borderId="10" applyNumberFormat="0" applyAlignment="0" applyProtection="0"/>
    <xf numFmtId="0" fontId="10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6" fillId="33" borderId="1">
      <alignment horizontal="left"/>
    </xf>
    <xf numFmtId="3" fontId="1" fillId="34" borderId="2">
      <alignment horizontal="right"/>
    </xf>
    <xf numFmtId="4" fontId="1" fillId="34" borderId="2">
      <alignment horizontal="right"/>
    </xf>
  </cellStyleXfs>
  <cellXfs count="12">
    <xf numFmtId="0" fontId="0" fillId="0" borderId="0" xfId="0"/>
    <xf numFmtId="0" fontId="2" fillId="33" borderId="0" xfId="26"/>
    <xf numFmtId="0" fontId="5" fillId="34" borderId="0" xfId="31">
      <alignment horizontal="center"/>
    </xf>
    <xf numFmtId="0" fontId="6" fillId="33" borderId="3" xfId="33">
      <alignment horizontal="left"/>
    </xf>
    <xf numFmtId="0" fontId="6" fillId="33" borderId="3" xfId="32">
      <alignment horizontal="right"/>
    </xf>
    <xf numFmtId="0" fontId="6" fillId="33" borderId="1" xfId="30">
      <alignment horizontal="right"/>
    </xf>
    <xf numFmtId="0" fontId="8" fillId="35" borderId="4" xfId="34"/>
    <xf numFmtId="0" fontId="4" fillId="33" borderId="15" xfId="49">
      <alignment horizontal="left" vertical="center" readingOrder="1"/>
    </xf>
    <xf numFmtId="0" fontId="6" fillId="33" borderId="1" xfId="50">
      <alignment horizontal="left"/>
    </xf>
    <xf numFmtId="0" fontId="3" fillId="34" borderId="5" xfId="35" applyFont="1"/>
    <xf numFmtId="3" fontId="1" fillId="34" borderId="2" xfId="51">
      <alignment horizontal="right"/>
    </xf>
    <xf numFmtId="4" fontId="1" fillId="34" borderId="2" xfId="52">
      <alignment horizontal="right"/>
    </xf>
  </cellXfs>
  <cellStyles count="5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49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0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standard_0_grouped" xfId="51" xr:uid="{00000000-0005-0000-0000-000023000000}"/>
    <cellStyle name="fa_data_standard_2_grouped" xfId="52" xr:uid="{00000000-0005-0000-0000-000024000000}"/>
    <cellStyle name="fa_footer_italic" xfId="34" xr:uid="{00000000-0005-0000-0000-000025000000}"/>
    <cellStyle name="fa_row_header_standard" xfId="35" xr:uid="{00000000-0005-0000-0000-000026000000}"/>
    <cellStyle name="Good" xfId="36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workbookViewId="0"/>
  </sheetViews>
  <sheetFormatPr defaultRowHeight="15"/>
  <cols>
    <col min="1" max="1" width="35.140625" customWidth="1"/>
    <col min="2" max="2" width="0" hidden="1" customWidth="1"/>
    <col min="3" max="22" width="13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/>
      <c r="B4" s="3"/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</row>
    <row r="5" spans="1:22">
      <c r="A5" s="8" t="s">
        <v>21</v>
      </c>
      <c r="B5" s="8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  <c r="U5" s="5" t="s">
        <v>40</v>
      </c>
      <c r="V5" s="5" t="s">
        <v>41</v>
      </c>
    </row>
    <row r="6" spans="1:22">
      <c r="A6" s="9" t="s">
        <v>42</v>
      </c>
      <c r="B6" s="9" t="s">
        <v>43</v>
      </c>
      <c r="C6" s="11" cm="1">
        <f t="array" ref="C6">_xll.BDH("TPX Index","CUR_RATIO","CY 2007","CY 2007","Currency=USD","Period=CY","FUND_PER=Y","BEST_FPERIOD_OVERRIDE=1GY","Sort=A","Dates=H","DateFormat=P","Fill=—","Direction=H","UseDPDF=Y")</f>
        <v>1.2682</v>
      </c>
      <c r="D6" s="11" cm="1">
        <f t="array" ref="D6">_xll.BDH("TPX Index","CUR_RATIO","CY 2008","CY 2008","Currency=USD","Period=CY","FUND_PER=Y","BEST_FPERIOD_OVERRIDE=1GY","Sort=A","Dates=H","DateFormat=P","Fill=—","Direction=H","UseDPDF=Y")</f>
        <v>1.2658</v>
      </c>
      <c r="E6" s="11" cm="1">
        <f t="array" ref="E6">_xll.BDH("TPX Index","CUR_RATIO","CY 2009","CY 2009","Currency=USD","Period=CY","FUND_PER=Y","BEST_FPERIOD_OVERRIDE=1GY","Sort=A","Dates=H","DateFormat=P","Fill=—","Direction=H","UseDPDF=Y")</f>
        <v>1.3245</v>
      </c>
      <c r="F6" s="11" cm="1">
        <f t="array" ref="F6">_xll.BDH("TPX Index","CUR_RATIO","CY 2010","CY 2010","Currency=USD","Period=CY","FUND_PER=Y","BEST_FPERIOD_OVERRIDE=1GY","Sort=A","Dates=H","DateFormat=P","Fill=—","Direction=H","UseDPDF=Y")</f>
        <v>1.3620000000000001</v>
      </c>
      <c r="G6" s="11" cm="1">
        <f t="array" ref="G6">_xll.BDH("TPX Index","CUR_RATIO","CY 2011","CY 2011","Currency=USD","Period=CY","FUND_PER=Y","BEST_FPERIOD_OVERRIDE=1GY","Sort=A","Dates=H","DateFormat=P","Fill=—","Direction=H","UseDPDF=Y")</f>
        <v>1.3494999999999999</v>
      </c>
      <c r="H6" s="11" cm="1">
        <f t="array" ref="H6">_xll.BDH("TPX Index","CUR_RATIO","CY 2012","CY 2012","Currency=USD","Period=CY","FUND_PER=Y","BEST_FPERIOD_OVERRIDE=1GY","Sort=A","Dates=H","DateFormat=P","Fill=—","Direction=H","UseDPDF=Y")</f>
        <v>1.3594999999999999</v>
      </c>
      <c r="I6" s="11" cm="1">
        <f t="array" ref="I6">_xll.BDH("TPX Index","CUR_RATIO","CY 2013","CY 2013","Currency=USD","Period=CY","FUND_PER=Y","BEST_FPERIOD_OVERRIDE=1GY","Sort=A","Dates=H","DateFormat=P","Fill=—","Direction=H","UseDPDF=Y")</f>
        <v>1.3912</v>
      </c>
      <c r="J6" s="11" cm="1">
        <f t="array" ref="J6">_xll.BDH("TPX Index","CUR_RATIO","CY 2014","CY 2014","Currency=USD","Period=CY","FUND_PER=Y","BEST_FPERIOD_OVERRIDE=1GY","Sort=A","Dates=H","DateFormat=P","Fill=—","Direction=H","UseDPDF=Y")</f>
        <v>1.4218999999999999</v>
      </c>
      <c r="K6" s="11" cm="1">
        <f t="array" ref="K6">_xll.BDH("TPX Index","CUR_RATIO","CY 2015","CY 2015","Currency=USD","Period=CY","FUND_PER=Y","BEST_FPERIOD_OVERRIDE=1GY","Sort=A","Dates=H","DateFormat=P","Fill=—","Direction=H","UseDPDF=Y")</f>
        <v>1.3838999999999999</v>
      </c>
      <c r="L6" s="11" cm="1">
        <f t="array" ref="L6">_xll.BDH("TPX Index","CUR_RATIO","CY 2016","CY 2016","Currency=USD","Period=CY","FUND_PER=Y","BEST_FPERIOD_OVERRIDE=1GY","Sort=A","Dates=H","DateFormat=P","Fill=—","Direction=H","UseDPDF=Y")</f>
        <v>1.3130999999999999</v>
      </c>
      <c r="M6" s="11" cm="1">
        <f t="array" ref="M6">_xll.BDH("TPX Index","CUR_RATIO","CY 2017","CY 2017","Currency=USD","Period=CY","FUND_PER=Y","BEST_FPERIOD_OVERRIDE=1GY","Sort=A","Dates=H","DateFormat=P","Fill=—","Direction=H","UseDPDF=Y")</f>
        <v>1.2966</v>
      </c>
      <c r="N6" s="11" cm="1">
        <f t="array" ref="N6">_xll.BDH("TPX Index","CUR_RATIO","CY 2018","CY 2018","Currency=USD","Period=CY","FUND_PER=Y","BEST_FPERIOD_OVERRIDE=1GY","Sort=A","Dates=H","DateFormat=P","Fill=—","Direction=H","UseDPDF=Y")</f>
        <v>1.29</v>
      </c>
      <c r="O6" s="11" cm="1">
        <f t="array" ref="O6">_xll.BDH("TPX Index","CUR_RATIO","CY 2019","CY 2019","Currency=USD","Period=CY","FUND_PER=Y","BEST_FPERIOD_OVERRIDE=1GY","Sort=A","Dates=H","DateFormat=P","Fill=—","Direction=H","UseDPDF=Y")</f>
        <v>1.2549999999999999</v>
      </c>
      <c r="P6" s="11" cm="1">
        <f t="array" ref="P6">_xll.BDH("TPX Index","CUR_RATIO","CY 2020","CY 2020","Currency=USD","Period=CY","FUND_PER=Y","BEST_FPERIOD_OVERRIDE=1GY","Sort=A","Dates=H","DateFormat=P","Fill=—","Direction=H","UseDPDF=Y")</f>
        <v>1.2612000000000001</v>
      </c>
      <c r="Q6" s="11" cm="1">
        <f t="array" ref="Q6">_xll.BDH("TPX Index","CUR_RATIO","CY 2021","CY 2021","Currency=USD","Period=CY","FUND_PER=Y","BEST_FPERIOD_OVERRIDE=1GY","Sort=A","Dates=H","DateFormat=P","Fill=—","Direction=H","UseDPDF=Y")</f>
        <v>1.2628999999999999</v>
      </c>
      <c r="R6" s="11" cm="1">
        <f t="array" ref="R6">_xll.BDH("TPX Index","CUR_RATIO","CY 2022","CY 2022","Currency=USD","Period=CY","FUND_PER=Y","BEST_FPERIOD_OVERRIDE=1GY","Sort=A","Dates=H","DateFormat=P","Fill=—","Direction=H","UseDPDF=Y")</f>
        <v>1.2384999999999999</v>
      </c>
      <c r="S6" s="11" cm="1">
        <f t="array" ref="S6">_xll.BDH("TPX Index","CUR_RATIO","CY 2023","CY 2023","Currency=USD","Period=CY","FUND_PER=Y","BEST_FPERIOD_OVERRIDE=1GY","Sort=A","Dates=H","DateFormat=P","Fill=—","Direction=H","UseDPDF=Y")</f>
        <v>1.2361</v>
      </c>
      <c r="T6" s="11" cm="1">
        <f t="array" ref="T6">_xll.BDH("TPX Index","CUR_RATIO","CY 2024","CY 2024","Currency=USD","Period=CY","FUND_PER=Y","BEST_FPERIOD_OVERRIDE=1GY","Sort=A","Dates=H","DateFormat=P","Fill=—","Direction=H","UseDPDF=Y")</f>
        <v>1.2479</v>
      </c>
      <c r="U6" s="11"/>
      <c r="V6" s="11"/>
    </row>
    <row r="7" spans="1:22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>
      <c r="A8" s="9" t="s">
        <v>44</v>
      </c>
      <c r="B8" s="9" t="s">
        <v>45</v>
      </c>
      <c r="C8" s="11" cm="1">
        <f t="array" ref="C8">_xll.BDH("TPX Index","NET_DEBT_TO_EBITDA","CY 2007","CY 2007","Currency=USD","Period=CY","FUND_PER=Y","BEST_FPERIOD_OVERRIDE=1GY","FA_ADJUSTED=GAAP","Sort=A","Dates=H","DateFormat=P","Fill=—","Direction=H","UseDPDF=Y")</f>
        <v>3.8424</v>
      </c>
      <c r="D8" s="11" cm="1">
        <f t="array" ref="D8">_xll.BDH("TPX Index","NET_DEBT_TO_EBITDA","CY 2008","CY 2008","Currency=USD","Period=CY","FUND_PER=Y","BEST_FPERIOD_OVERRIDE=1GY","FA_ADJUSTED=GAAP","Sort=A","Dates=H","DateFormat=P","Fill=—","Direction=H","UseDPDF=Y")</f>
        <v>3.9683999999999999</v>
      </c>
      <c r="E8" s="11" cm="1">
        <f t="array" ref="E8">_xll.BDH("TPX Index","NET_DEBT_TO_EBITDA","CY 2009","CY 2009","Currency=USD","Period=CY","FUND_PER=Y","BEST_FPERIOD_OVERRIDE=1GY","FA_ADJUSTED=GAAP","Sort=A","Dates=H","DateFormat=P","Fill=—","Direction=H","UseDPDF=Y")</f>
        <v>7.4013999999999998</v>
      </c>
      <c r="F8" s="11" cm="1">
        <f t="array" ref="F8">_xll.BDH("TPX Index","NET_DEBT_TO_EBITDA","CY 2010","CY 2010","Currency=USD","Period=CY","FUND_PER=Y","BEST_FPERIOD_OVERRIDE=1GY","FA_ADJUSTED=GAAP","Sort=A","Dates=H","DateFormat=P","Fill=—","Direction=H","UseDPDF=Y")</f>
        <v>5.2011000000000003</v>
      </c>
      <c r="G8" s="11" cm="1">
        <f t="array" ref="G8">_xll.BDH("TPX Index","NET_DEBT_TO_EBITDA","CY 2011","CY 2011","Currency=USD","Period=CY","FUND_PER=Y","BEST_FPERIOD_OVERRIDE=1GY","FA_ADJUSTED=GAAP","Sort=A","Dates=H","DateFormat=P","Fill=—","Direction=H","UseDPDF=Y")</f>
        <v>5.3132000000000001</v>
      </c>
      <c r="H8" s="11" cm="1">
        <f t="array" ref="H8">_xll.BDH("TPX Index","NET_DEBT_TO_EBITDA","CY 2012","CY 2012","Currency=USD","Period=CY","FUND_PER=Y","BEST_FPERIOD_OVERRIDE=1GY","FA_ADJUSTED=GAAP","Sort=A","Dates=H","DateFormat=P","Fill=—","Direction=H","UseDPDF=Y")</f>
        <v>5.5496999999999996</v>
      </c>
      <c r="I8" s="11" cm="1">
        <f t="array" ref="I8">_xll.BDH("TPX Index","NET_DEBT_TO_EBITDA","CY 2013","CY 2013","Currency=USD","Period=CY","FUND_PER=Y","BEST_FPERIOD_OVERRIDE=1GY","FA_ADJUSTED=GAAP","Sort=A","Dates=H","DateFormat=P","Fill=—","Direction=H","UseDPDF=Y")</f>
        <v>4.1677</v>
      </c>
      <c r="J8" s="11" cm="1">
        <f t="array" ref="J8">_xll.BDH("TPX Index","NET_DEBT_TO_EBITDA","CY 2014","CY 2014","Currency=USD","Period=CY","FUND_PER=Y","BEST_FPERIOD_OVERRIDE=1GY","FA_ADJUSTED=GAAP","Sort=A","Dates=H","DateFormat=P","Fill=—","Direction=H","UseDPDF=Y")</f>
        <v>3.5821999999999998</v>
      </c>
      <c r="K8" s="11" cm="1">
        <f t="array" ref="K8">_xll.BDH("TPX Index","NET_DEBT_TO_EBITDA","CY 2015","CY 2015","Currency=USD","Period=CY","FUND_PER=Y","BEST_FPERIOD_OVERRIDE=1GY","FA_ADJUSTED=GAAP","Sort=A","Dates=H","DateFormat=P","Fill=—","Direction=H","UseDPDF=Y")</f>
        <v>2.7464</v>
      </c>
      <c r="L8" s="11" cm="1">
        <f t="array" ref="L8">_xll.BDH("TPX Index","NET_DEBT_TO_EBITDA","CY 2016","CY 2016","Currency=USD","Period=CY","FUND_PER=Y","BEST_FPERIOD_OVERRIDE=1GY","FA_ADJUSTED=GAAP","Sort=A","Dates=H","DateFormat=P","Fill=—","Direction=H","UseDPDF=Y")</f>
        <v>1.5301</v>
      </c>
      <c r="M8" s="11" cm="1">
        <f t="array" ref="M8">_xll.BDH("TPX Index","NET_DEBT_TO_EBITDA","CY 2017","CY 2017","Currency=USD","Period=CY","FUND_PER=Y","BEST_FPERIOD_OVERRIDE=1GY","FA_ADJUSTED=GAAP","Sort=A","Dates=H","DateFormat=P","Fill=—","Direction=H","UseDPDF=Y")</f>
        <v>0.30890000000000001</v>
      </c>
      <c r="N8" s="11" cm="1">
        <f t="array" ref="N8">_xll.BDH("TPX Index","NET_DEBT_TO_EBITDA","CY 2018","CY 2018","Currency=USD","Period=CY","FUND_PER=Y","BEST_FPERIOD_OVERRIDE=1GY","FA_ADJUSTED=GAAP","Sort=A","Dates=H","DateFormat=P","Fill=—","Direction=H","UseDPDF=Y")</f>
        <v>7.1900000000000006E-2</v>
      </c>
      <c r="O8" s="11" cm="1">
        <f t="array" ref="O8">_xll.BDH("TPX Index","NET_DEBT_TO_EBITDA","CY 2019","CY 2019","Currency=USD","Period=CY","FUND_PER=Y","BEST_FPERIOD_OVERRIDE=1GY","FA_ADJUSTED=GAAP","Sort=A","Dates=H","DateFormat=P","Fill=—","Direction=H","UseDPDF=Y")</f>
        <v>0.21010000000000001</v>
      </c>
      <c r="P8" s="11" cm="1">
        <f t="array" ref="P8">_xll.BDH("TPX Index","NET_DEBT_TO_EBITDA","CY 2020","CY 2020","Currency=USD","Period=CY","FUND_PER=Y","BEST_FPERIOD_OVERRIDE=1GY","FA_ADJUSTED=GAAP","Sort=A","Dates=H","DateFormat=P","Fill=—","Direction=H","UseDPDF=Y")</f>
        <v>-8.9999999999999998E-4</v>
      </c>
      <c r="Q8" s="11" cm="1">
        <f t="array" ref="Q8">_xll.BDH("TPX Index","NET_DEBT_TO_EBITDA","CY 2021","CY 2021","Currency=USD","Period=CY","FUND_PER=Y","BEST_FPERIOD_OVERRIDE=1GY","FA_ADJUSTED=GAAP","Sort=A","Dates=H","DateFormat=P","Fill=—","Direction=H","UseDPDF=Y")</f>
        <v>-0.3523</v>
      </c>
      <c r="R8" s="11" cm="1">
        <f t="array" ref="R8">_xll.BDH("TPX Index","NET_DEBT_TO_EBITDA","CY 2022","CY 2022","Currency=USD","Period=CY","FUND_PER=Y","BEST_FPERIOD_OVERRIDE=1GY","FA_ADJUSTED=GAAP","Sort=A","Dates=H","DateFormat=P","Fill=—","Direction=H","UseDPDF=Y")</f>
        <v>-0.67130000000000001</v>
      </c>
      <c r="S8" s="11" cm="1">
        <f t="array" ref="S8">_xll.BDH("TPX Index","NET_DEBT_TO_EBITDA","CY 2023","CY 2023","Currency=USD","Period=CY","FUND_PER=Y","BEST_FPERIOD_OVERRIDE=1GY","FA_ADJUSTED=GAAP","Sort=A","Dates=H","DateFormat=P","Fill=—","Direction=H","UseDPDF=Y")</f>
        <v>-0.59470000000000001</v>
      </c>
      <c r="T8" s="11" cm="1">
        <f t="array" ref="T8">_xll.BDH("TPX Index","NET_DEBT_TO_EBITDA","CY 2024","CY 2024","Currency=USD","Period=CY","FUND_PER=Y","BEST_FPERIOD_OVERRIDE=1GY","FA_ADJUSTED=GAAP","Sort=A","Dates=H","DateFormat=P","Fill=—","Direction=H","UseDPDF=Y")</f>
        <v>-0.59640000000000004</v>
      </c>
      <c r="U8" s="11">
        <v>-0.15696525254152199</v>
      </c>
      <c r="V8" s="11">
        <v>-0.46477429214344801</v>
      </c>
    </row>
    <row r="9" spans="1:22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>
      <c r="A10" s="9" t="s">
        <v>46</v>
      </c>
      <c r="B10" s="9" t="s">
        <v>47</v>
      </c>
      <c r="C10" s="11" cm="1">
        <f t="array" ref="C10">_xll.BDH("TPX Index","TOTAL_DEBT_TO_CURRENT_EV","CY 2007","CY 2007","Currency=USD","Period=CY","FUND_PER=Y","BEST_FPERIOD_OVERRIDE=1GY","Sort=A","Dates=H","DateFormat=P","Fill=—","Direction=H","UseDPDF=Y")</f>
        <v>0.5847</v>
      </c>
      <c r="D10" s="11" cm="1">
        <f t="array" ref="D10">_xll.BDH("TPX Index","TOTAL_DEBT_TO_CURRENT_EV","CY 2008","CY 2008","Currency=USD","Period=CY","FUND_PER=Y","BEST_FPERIOD_OVERRIDE=1GY","Sort=A","Dates=H","DateFormat=P","Fill=—","Direction=H","UseDPDF=Y")</f>
        <v>0.74360000000000004</v>
      </c>
      <c r="E10" s="11" cm="1">
        <f t="array" ref="E10">_xll.BDH("TPX Index","TOTAL_DEBT_TO_CURRENT_EV","CY 2009","CY 2009","Currency=USD","Period=CY","FUND_PER=Y","BEST_FPERIOD_OVERRIDE=1GY","Sort=A","Dates=H","DateFormat=P","Fill=—","Direction=H","UseDPDF=Y")</f>
        <v>0.73870000000000002</v>
      </c>
      <c r="F10" s="11" cm="1">
        <f t="array" ref="F10">_xll.BDH("TPX Index","TOTAL_DEBT_TO_CURRENT_EV","CY 2010","CY 2010","Currency=USD","Period=CY","FUND_PER=Y","BEST_FPERIOD_OVERRIDE=1GY","Sort=A","Dates=H","DateFormat=P","Fill=—","Direction=H","UseDPDF=Y")</f>
        <v>0.71460000000000001</v>
      </c>
      <c r="G10" s="11" cm="1">
        <f t="array" ref="G10">_xll.BDH("TPX Index","TOTAL_DEBT_TO_CURRENT_EV","CY 2011","CY 2011","Currency=USD","Period=CY","FUND_PER=Y","BEST_FPERIOD_OVERRIDE=1GY","Sort=A","Dates=H","DateFormat=P","Fill=—","Direction=H","UseDPDF=Y")</f>
        <v>0.82289999999999996</v>
      </c>
      <c r="H10" s="11" cm="1">
        <f t="array" ref="H10">_xll.BDH("TPX Index","TOTAL_DEBT_TO_CURRENT_EV","CY 2012","CY 2012","Currency=USD","Period=CY","FUND_PER=Y","BEST_FPERIOD_OVERRIDE=1GY","Sort=A","Dates=H","DateFormat=P","Fill=—","Direction=H","UseDPDF=Y")</f>
        <v>0.7752</v>
      </c>
      <c r="I10" s="11" cm="1">
        <f t="array" ref="I10">_xll.BDH("TPX Index","TOTAL_DEBT_TO_CURRENT_EV","CY 2013","CY 2013","Currency=USD","Period=CY","FUND_PER=Y","BEST_FPERIOD_OVERRIDE=1GY","Sort=A","Dates=H","DateFormat=P","Fill=—","Direction=H","UseDPDF=Y")</f>
        <v>0.69979999999999998</v>
      </c>
      <c r="J10" s="11" cm="1">
        <f t="array" ref="J10">_xll.BDH("TPX Index","TOTAL_DEBT_TO_CURRENT_EV","CY 2014","CY 2014","Currency=USD","Period=CY","FUND_PER=Y","BEST_FPERIOD_OVERRIDE=1GY","Sort=A","Dates=H","DateFormat=P","Fill=—","Direction=H","UseDPDF=Y")</f>
        <v>0.72040000000000004</v>
      </c>
      <c r="K10" s="11" cm="1">
        <f t="array" ref="K10">_xll.BDH("TPX Index","TOTAL_DEBT_TO_CURRENT_EV","CY 2015","CY 2015","Currency=USD","Period=CY","FUND_PER=Y","BEST_FPERIOD_OVERRIDE=1GY","Sort=A","Dates=H","DateFormat=P","Fill=—","Direction=H","UseDPDF=Y")</f>
        <v>0.76519999999999999</v>
      </c>
      <c r="L10" s="11" cm="1">
        <f t="array" ref="L10">_xll.BDH("TPX Index","TOTAL_DEBT_TO_CURRENT_EV","CY 2016","CY 2016","Currency=USD","Period=CY","FUND_PER=Y","BEST_FPERIOD_OVERRIDE=1GY","Sort=A","Dates=H","DateFormat=P","Fill=—","Direction=H","UseDPDF=Y")</f>
        <v>0.87790000000000001</v>
      </c>
      <c r="M10" s="11" cm="1">
        <f t="array" ref="M10">_xll.BDH("TPX Index","TOTAL_DEBT_TO_CURRENT_EV","CY 2017","CY 2017","Currency=USD","Period=CY","FUND_PER=Y","BEST_FPERIOD_OVERRIDE=1GY","Sort=A","Dates=H","DateFormat=P","Fill=—","Direction=H","UseDPDF=Y")</f>
        <v>0.90600000000000003</v>
      </c>
      <c r="N10" s="11" cm="1">
        <f t="array" ref="N10">_xll.BDH("TPX Index","TOTAL_DEBT_TO_CURRENT_EV","CY 2018","CY 2018","Currency=USD","Period=CY","FUND_PER=Y","BEST_FPERIOD_OVERRIDE=1GY","Sort=A","Dates=H","DateFormat=P","Fill=—","Direction=H","UseDPDF=Y")</f>
        <v>1.1448</v>
      </c>
      <c r="O10" s="11" cm="1">
        <f t="array" ref="O10">_xll.BDH("TPX Index","TOTAL_DEBT_TO_CURRENT_EV","CY 2019","CY 2019","Currency=USD","Period=CY","FUND_PER=Y","BEST_FPERIOD_OVERRIDE=1GY","Sort=A","Dates=H","DateFormat=P","Fill=—","Direction=H","UseDPDF=Y")</f>
        <v>1.0216000000000001</v>
      </c>
      <c r="P10" s="11" cm="1">
        <f t="array" ref="P10">_xll.BDH("TPX Index","TOTAL_DEBT_TO_CURRENT_EV","CY 2020","CY 2020","Currency=USD","Period=CY","FUND_PER=Y","BEST_FPERIOD_OVERRIDE=1GY","Sort=A","Dates=H","DateFormat=P","Fill=—","Direction=H","UseDPDF=Y")</f>
        <v>1.1489</v>
      </c>
      <c r="Q10" s="11" cm="1">
        <f t="array" ref="Q10">_xll.BDH("TPX Index","TOTAL_DEBT_TO_CURRENT_EV","CY 2021","CY 2021","Currency=USD","Period=CY","FUND_PER=Y","BEST_FPERIOD_OVERRIDE=1GY","Sort=A","Dates=H","DateFormat=P","Fill=—","Direction=H","UseDPDF=Y")</f>
        <v>1.1887000000000001</v>
      </c>
      <c r="R10" s="11" cm="1">
        <f t="array" ref="R10">_xll.BDH("TPX Index","TOTAL_DEBT_TO_CURRENT_EV","CY 2022","CY 2022","Currency=USD","Period=CY","FUND_PER=Y","BEST_FPERIOD_OVERRIDE=1GY","Sort=A","Dates=H","DateFormat=P","Fill=—","Direction=H","UseDPDF=Y")</f>
        <v>1.4492</v>
      </c>
      <c r="S10" s="11" cm="1">
        <f t="array" ref="S10">_xll.BDH("TPX Index","TOTAL_DEBT_TO_CURRENT_EV","CY 2023","CY 2023","Currency=USD","Period=CY","FUND_PER=Y","BEST_FPERIOD_OVERRIDE=1GY","Sort=A","Dates=H","DateFormat=P","Fill=—","Direction=H","UseDPDF=Y")</f>
        <v>1.1768000000000001</v>
      </c>
      <c r="T10" s="11" cm="1">
        <f t="array" ref="T10">_xll.BDH("TPX Index","TOTAL_DEBT_TO_CURRENT_EV","CY 2024","CY 2024","Currency=USD","Period=CY","FUND_PER=Y","BEST_FPERIOD_OVERRIDE=1GY","Sort=A","Dates=H","DateFormat=P","Fill=—","Direction=H","UseDPDF=Y")</f>
        <v>1.0301</v>
      </c>
      <c r="U10" s="11"/>
      <c r="V10" s="11"/>
    </row>
    <row r="11" spans="1:22">
      <c r="A11" s="9" t="s">
        <v>48</v>
      </c>
      <c r="B11" s="9" t="s">
        <v>49</v>
      </c>
      <c r="C11" s="11" cm="1">
        <f t="array" ref="C11">_xll.BDH("TPX Index","TOT_DEBT_TO_TOT_EQY","CY 2007","CY 2007","Currency=USD","Period=CY","FUND_PER=Y","BEST_FPERIOD_OVERRIDE=1GY","Sort=A","Dates=H","DateFormat=P","Fill=—","Direction=H","UseDPDF=Y")</f>
        <v>142.5</v>
      </c>
      <c r="D11" s="11" cm="1">
        <f t="array" ref="D11">_xll.BDH("TPX Index","TOT_DEBT_TO_TOT_EQY","CY 2008","CY 2008","Currency=USD","Period=CY","FUND_PER=Y","BEST_FPERIOD_OVERRIDE=1GY","Sort=A","Dates=H","DateFormat=P","Fill=—","Direction=H","UseDPDF=Y")</f>
        <v>140.8056</v>
      </c>
      <c r="E11" s="11" cm="1">
        <f t="array" ref="E11">_xll.BDH("TPX Index","TOT_DEBT_TO_TOT_EQY","CY 2009","CY 2009","Currency=USD","Period=CY","FUND_PER=Y","BEST_FPERIOD_OVERRIDE=1GY","Sort=A","Dates=H","DateFormat=P","Fill=—","Direction=H","UseDPDF=Y")</f>
        <v>156.66499999999999</v>
      </c>
      <c r="F11" s="11" cm="1">
        <f t="array" ref="F11">_xll.BDH("TPX Index","TOT_DEBT_TO_TOT_EQY","CY 2010","CY 2010","Currency=USD","Period=CY","FUND_PER=Y","BEST_FPERIOD_OVERRIDE=1GY","Sort=A","Dates=H","DateFormat=P","Fill=—","Direction=H","UseDPDF=Y")</f>
        <v>157.81200000000001</v>
      </c>
      <c r="G11" s="11" cm="1">
        <f t="array" ref="G11">_xll.BDH("TPX Index","TOT_DEBT_TO_TOT_EQY","CY 2011","CY 2011","Currency=USD","Period=CY","FUND_PER=Y","BEST_FPERIOD_OVERRIDE=1GY","Sort=A","Dates=H","DateFormat=P","Fill=—","Direction=H","UseDPDF=Y")</f>
        <v>158.5197</v>
      </c>
      <c r="H11" s="11" cm="1">
        <f t="array" ref="H11">_xll.BDH("TPX Index","TOT_DEBT_TO_TOT_EQY","CY 2012","CY 2012","Currency=USD","Period=CY","FUND_PER=Y","BEST_FPERIOD_OVERRIDE=1GY","Sort=A","Dates=H","DateFormat=P","Fill=—","Direction=H","UseDPDF=Y")</f>
        <v>158.43190000000001</v>
      </c>
      <c r="I11" s="11" cm="1">
        <f t="array" ref="I11">_xll.BDH("TPX Index","TOT_DEBT_TO_TOT_EQY","CY 2013","CY 2013","Currency=USD","Period=CY","FUND_PER=Y","BEST_FPERIOD_OVERRIDE=1GY","Sort=A","Dates=H","DateFormat=P","Fill=—","Direction=H","UseDPDF=Y")</f>
        <v>142.13849999999999</v>
      </c>
      <c r="J11" s="11" cm="1">
        <f t="array" ref="J11">_xll.BDH("TPX Index","TOT_DEBT_TO_TOT_EQY","CY 2014","CY 2014","Currency=USD","Period=CY","FUND_PER=Y","BEST_FPERIOD_OVERRIDE=1GY","Sort=A","Dates=H","DateFormat=P","Fill=—","Direction=H","UseDPDF=Y")</f>
        <v>139.22120000000001</v>
      </c>
      <c r="K11" s="11" cm="1">
        <f t="array" ref="K11">_xll.BDH("TPX Index","TOT_DEBT_TO_TOT_EQY","CY 2015","CY 2015","Currency=USD","Period=CY","FUND_PER=Y","BEST_FPERIOD_OVERRIDE=1GY","Sort=A","Dates=H","DateFormat=P","Fill=—","Direction=H","UseDPDF=Y")</f>
        <v>136.52279999999999</v>
      </c>
      <c r="L11" s="11" cm="1">
        <f t="array" ref="L11">_xll.BDH("TPX Index","TOT_DEBT_TO_TOT_EQY","CY 2016","CY 2016","Currency=USD","Period=CY","FUND_PER=Y","BEST_FPERIOD_OVERRIDE=1GY","Sort=A","Dates=H","DateFormat=P","Fill=—","Direction=H","UseDPDF=Y")</f>
        <v>135.55600000000001</v>
      </c>
      <c r="M11" s="11" cm="1">
        <f t="array" ref="M11">_xll.BDH("TPX Index","TOT_DEBT_TO_TOT_EQY","CY 2017","CY 2017","Currency=USD","Period=CY","FUND_PER=Y","BEST_FPERIOD_OVERRIDE=1GY","Sort=A","Dates=H","DateFormat=P","Fill=—","Direction=H","UseDPDF=Y")</f>
        <v>125.18470000000001</v>
      </c>
      <c r="N11" s="11" cm="1">
        <f t="array" ref="N11">_xll.BDH("TPX Index","TOT_DEBT_TO_TOT_EQY","CY 2018","CY 2018","Currency=USD","Period=CY","FUND_PER=Y","BEST_FPERIOD_OVERRIDE=1GY","Sort=A","Dates=H","DateFormat=P","Fill=—","Direction=H","UseDPDF=Y")</f>
        <v>121.27809999999999</v>
      </c>
      <c r="O11" s="11" cm="1">
        <f t="array" ref="O11">_xll.BDH("TPX Index","TOT_DEBT_TO_TOT_EQY","CY 2019","CY 2019","Currency=USD","Period=CY","FUND_PER=Y","BEST_FPERIOD_OVERRIDE=1GY","Sort=A","Dates=H","DateFormat=P","Fill=—","Direction=H","UseDPDF=Y")</f>
        <v>125.083</v>
      </c>
      <c r="P11" s="11" cm="1">
        <f t="array" ref="P11">_xll.BDH("TPX Index","TOT_DEBT_TO_TOT_EQY","CY 2020","CY 2020","Currency=USD","Period=CY","FUND_PER=Y","BEST_FPERIOD_OVERRIDE=1GY","Sort=A","Dates=H","DateFormat=P","Fill=—","Direction=H","UseDPDF=Y")</f>
        <v>144.01750000000001</v>
      </c>
      <c r="Q11" s="11" cm="1">
        <f t="array" ref="Q11">_xll.BDH("TPX Index","TOT_DEBT_TO_TOT_EQY","CY 2021","CY 2021","Currency=USD","Period=CY","FUND_PER=Y","BEST_FPERIOD_OVERRIDE=1GY","Sort=A","Dates=H","DateFormat=P","Fill=—","Direction=H","UseDPDF=Y")</f>
        <v>140.0155</v>
      </c>
      <c r="R11" s="11" cm="1">
        <f t="array" ref="R11">_xll.BDH("TPX Index","TOT_DEBT_TO_TOT_EQY","CY 2022","CY 2022","Currency=USD","Period=CY","FUND_PER=Y","BEST_FPERIOD_OVERRIDE=1GY","Sort=A","Dates=H","DateFormat=P","Fill=—","Direction=H","UseDPDF=Y")</f>
        <v>131.66210000000001</v>
      </c>
      <c r="S11" s="11" cm="1">
        <f t="array" ref="S11">_xll.BDH("TPX Index","TOT_DEBT_TO_TOT_EQY","CY 2023","CY 2023","Currency=USD","Period=CY","FUND_PER=Y","BEST_FPERIOD_OVERRIDE=1GY","Sort=A","Dates=H","DateFormat=P","Fill=—","Direction=H","UseDPDF=Y")</f>
        <v>134.39250000000001</v>
      </c>
      <c r="T11" s="11" cm="1">
        <f t="array" ref="T11">_xll.BDH("TPX Index","TOT_DEBT_TO_TOT_EQY","CY 2024","CY 2024","Currency=USD","Period=CY","FUND_PER=Y","BEST_FPERIOD_OVERRIDE=1GY","Sort=A","Dates=H","DateFormat=P","Fill=—","Direction=H","UseDPDF=Y")</f>
        <v>131.8545</v>
      </c>
      <c r="U11" s="11"/>
      <c r="V11" s="11"/>
    </row>
    <row r="12" spans="1:22">
      <c r="A12" s="9" t="s">
        <v>50</v>
      </c>
      <c r="B12" s="9" t="s">
        <v>51</v>
      </c>
      <c r="C12" s="11" cm="1">
        <f t="array" ref="C12">_xll.BDH("TPX Index","TOT_DEBT_TO_TOT_ASSET","CY 2007","CY 2007","Currency=USD","Period=CY","FUND_PER=Y","BEST_FPERIOD_OVERRIDE=1GY","Sort=A","Dates=H","DateFormat=P","Fill=—","Direction=H","UseDPDF=Y")</f>
        <v>26.133900000000001</v>
      </c>
      <c r="D12" s="11" cm="1">
        <f t="array" ref="D12">_xll.BDH("TPX Index","TOT_DEBT_TO_TOT_ASSET","CY 2008","CY 2008","Currency=USD","Period=CY","FUND_PER=Y","BEST_FPERIOD_OVERRIDE=1GY","Sort=A","Dates=H","DateFormat=P","Fill=—","Direction=H","UseDPDF=Y")</f>
        <v>24.5656</v>
      </c>
      <c r="E12" s="11" cm="1">
        <f t="array" ref="E12">_xll.BDH("TPX Index","TOT_DEBT_TO_TOT_ASSET","CY 2009","CY 2009","Currency=USD","Period=CY","FUND_PER=Y","BEST_FPERIOD_OVERRIDE=1GY","Sort=A","Dates=H","DateFormat=P","Fill=—","Direction=H","UseDPDF=Y")</f>
        <v>26.023499999999999</v>
      </c>
      <c r="F12" s="11" cm="1">
        <f t="array" ref="F12">_xll.BDH("TPX Index","TOT_DEBT_TO_TOT_ASSET","CY 2010","CY 2010","Currency=USD","Period=CY","FUND_PER=Y","BEST_FPERIOD_OVERRIDE=1GY","Sort=A","Dates=H","DateFormat=P","Fill=—","Direction=H","UseDPDF=Y")</f>
        <v>25.507899999999999</v>
      </c>
      <c r="G12" s="11" cm="1">
        <f t="array" ref="G12">_xll.BDH("TPX Index","TOT_DEBT_TO_TOT_ASSET","CY 2011","CY 2011","Currency=USD","Period=CY","FUND_PER=Y","BEST_FPERIOD_OVERRIDE=1GY","Sort=A","Dates=H","DateFormat=P","Fill=—","Direction=H","UseDPDF=Y")</f>
        <v>25.304300000000001</v>
      </c>
      <c r="H12" s="11" cm="1">
        <f t="array" ref="H12">_xll.BDH("TPX Index","TOT_DEBT_TO_TOT_ASSET","CY 2012","CY 2012","Currency=USD","Period=CY","FUND_PER=Y","BEST_FPERIOD_OVERRIDE=1GY","Sort=A","Dates=H","DateFormat=P","Fill=—","Direction=H","UseDPDF=Y")</f>
        <v>25.131799999999998</v>
      </c>
      <c r="I12" s="11" cm="1">
        <f t="array" ref="I12">_xll.BDH("TPX Index","TOT_DEBT_TO_TOT_ASSET","CY 2013","CY 2013","Currency=USD","Period=CY","FUND_PER=Y","BEST_FPERIOD_OVERRIDE=1GY","Sort=A","Dates=H","DateFormat=P","Fill=—","Direction=H","UseDPDF=Y")</f>
        <v>24.4816</v>
      </c>
      <c r="J12" s="11" cm="1">
        <f t="array" ref="J12">_xll.BDH("TPX Index","TOT_DEBT_TO_TOT_ASSET","CY 2014","CY 2014","Currency=USD","Period=CY","FUND_PER=Y","BEST_FPERIOD_OVERRIDE=1GY","Sort=A","Dates=H","DateFormat=P","Fill=—","Direction=H","UseDPDF=Y")</f>
        <v>24.6813</v>
      </c>
      <c r="K12" s="11" cm="1">
        <f t="array" ref="K12">_xll.BDH("TPX Index","TOT_DEBT_TO_TOT_ASSET","CY 2015","CY 2015","Currency=USD","Period=CY","FUND_PER=Y","BEST_FPERIOD_OVERRIDE=1GY","Sort=A","Dates=H","DateFormat=P","Fill=—","Direction=H","UseDPDF=Y")</f>
        <v>24.017299999999999</v>
      </c>
      <c r="L12" s="11" cm="1">
        <f t="array" ref="L12">_xll.BDH("TPX Index","TOT_DEBT_TO_TOT_ASSET","CY 2016","CY 2016","Currency=USD","Period=CY","FUND_PER=Y","BEST_FPERIOD_OVERRIDE=1GY","Sort=A","Dates=H","DateFormat=P","Fill=—","Direction=H","UseDPDF=Y")</f>
        <v>22.192</v>
      </c>
      <c r="M12" s="11" cm="1">
        <f t="array" ref="M12">_xll.BDH("TPX Index","TOT_DEBT_TO_TOT_ASSET","CY 2017","CY 2017","Currency=USD","Period=CY","FUND_PER=Y","BEST_FPERIOD_OVERRIDE=1GY","Sort=A","Dates=H","DateFormat=P","Fill=—","Direction=H","UseDPDF=Y")</f>
        <v>21.3185</v>
      </c>
      <c r="N12" s="11" cm="1">
        <f t="array" ref="N12">_xll.BDH("TPX Index","TOT_DEBT_TO_TOT_ASSET","CY 2018","CY 2018","Currency=USD","Period=CY","FUND_PER=Y","BEST_FPERIOD_OVERRIDE=1GY","Sort=A","Dates=H","DateFormat=P","Fill=—","Direction=H","UseDPDF=Y")</f>
        <v>21.3672</v>
      </c>
      <c r="O12" s="11" cm="1">
        <f t="array" ref="O12">_xll.BDH("TPX Index","TOT_DEBT_TO_TOT_ASSET","CY 2019","CY 2019","Currency=USD","Period=CY","FUND_PER=Y","BEST_FPERIOD_OVERRIDE=1GY","Sort=A","Dates=H","DateFormat=P","Fill=—","Direction=H","UseDPDF=Y")</f>
        <v>21.517700000000001</v>
      </c>
      <c r="P12" s="11" cm="1">
        <f t="array" ref="P12">_xll.BDH("TPX Index","TOT_DEBT_TO_TOT_ASSET","CY 2020","CY 2020","Currency=USD","Period=CY","FUND_PER=Y","BEST_FPERIOD_OVERRIDE=1GY","Sort=A","Dates=H","DateFormat=P","Fill=—","Direction=H","UseDPDF=Y")</f>
        <v>23.070799999999998</v>
      </c>
      <c r="Q12" s="11" cm="1">
        <f t="array" ref="Q12">_xll.BDH("TPX Index","TOT_DEBT_TO_TOT_ASSET","CY 2021","CY 2021","Currency=USD","Period=CY","FUND_PER=Y","BEST_FPERIOD_OVERRIDE=1GY","Sort=A","Dates=H","DateFormat=P","Fill=—","Direction=H","UseDPDF=Y")</f>
        <v>23.033999999999999</v>
      </c>
      <c r="R12" s="11" cm="1">
        <f t="array" ref="R12">_xll.BDH("TPX Index","TOT_DEBT_TO_TOT_ASSET","CY 2022","CY 2022","Currency=USD","Period=CY","FUND_PER=Y","BEST_FPERIOD_OVERRIDE=1GY","Sort=A","Dates=H","DateFormat=P","Fill=—","Direction=H","UseDPDF=Y")</f>
        <v>21.799099999999999</v>
      </c>
      <c r="S12" s="11" cm="1">
        <f t="array" ref="S12">_xll.BDH("TPX Index","TOT_DEBT_TO_TOT_ASSET","CY 2023","CY 2023","Currency=USD","Period=CY","FUND_PER=Y","BEST_FPERIOD_OVERRIDE=1GY","Sort=A","Dates=H","DateFormat=P","Fill=—","Direction=H","UseDPDF=Y")</f>
        <v>22.540700000000001</v>
      </c>
      <c r="T12" s="11" cm="1">
        <f t="array" ref="T12">_xll.BDH("TPX Index","TOT_DEBT_TO_TOT_ASSET","CY 2024","CY 2024","Currency=USD","Period=CY","FUND_PER=Y","BEST_FPERIOD_OVERRIDE=1GY","Sort=A","Dates=H","DateFormat=P","Fill=—","Direction=H","UseDPDF=Y")</f>
        <v>22.680499999999999</v>
      </c>
      <c r="U12" s="11"/>
      <c r="V12" s="11"/>
    </row>
    <row r="13" spans="1:22">
      <c r="A13" s="6" t="s">
        <v>52</v>
      </c>
      <c r="B13" s="6"/>
      <c r="C13" s="6" t="s">
        <v>53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Elisa Massano</cp:lastModifiedBy>
  <cp:revision/>
  <dcterms:created xsi:type="dcterms:W3CDTF">2013-04-03T15:49:21Z</dcterms:created>
  <dcterms:modified xsi:type="dcterms:W3CDTF">2025-12-04T18:39:48Z</dcterms:modified>
  <cp:category/>
  <cp:contentStatus/>
</cp:coreProperties>
</file>