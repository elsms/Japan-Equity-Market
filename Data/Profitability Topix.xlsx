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y828132\Downloads\"/>
    </mc:Choice>
  </mc:AlternateContent>
  <xr:revisionPtr revIDLastSave="0" documentId="8_{9D655104-B254-4431-84B8-EA787341C0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fitability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2" l="1" a="1"/>
  <c r="J7" i="2" a="1"/>
  <c r="J15" i="2" a="1"/>
  <c r="J8" i="2" a="1"/>
  <c r="J12" i="2" a="1"/>
  <c r="J6" i="2" a="1"/>
  <c r="J9" i="2" a="1"/>
  <c r="J11" i="2" a="1"/>
  <c r="J16" i="2" a="1"/>
  <c r="P16" i="2" a="1"/>
  <c r="S6" i="2" a="1"/>
  <c r="O12" i="2" a="1"/>
  <c r="N16" i="2" a="1"/>
  <c r="Q11" i="2" a="1"/>
  <c r="Q9" i="2" a="1"/>
  <c r="E13" i="2" a="1"/>
  <c r="D12" i="2" a="1"/>
  <c r="N8" i="2" a="1"/>
  <c r="H9" i="2" a="1"/>
  <c r="T8" i="2" a="1"/>
  <c r="S15" i="2" a="1"/>
  <c r="R15" i="2" a="1"/>
  <c r="G15" i="2" a="1"/>
  <c r="M7" i="2" a="1"/>
  <c r="F11" i="2" a="1"/>
  <c r="P9" i="2" a="1"/>
  <c r="O15" i="2" a="1"/>
  <c r="L11" i="2" a="1"/>
  <c r="M9" i="2" a="1"/>
  <c r="M11" i="2" a="1"/>
  <c r="T11" i="2" a="1"/>
  <c r="K13" i="2" a="1"/>
  <c r="O6" i="2" a="1"/>
  <c r="L9" i="2" a="1"/>
  <c r="E9" i="2" a="1"/>
  <c r="I9" i="2" a="1"/>
  <c r="F7" i="2" a="1"/>
  <c r="P12" i="2" a="1"/>
  <c r="N15" i="2" a="1"/>
  <c r="R8" i="2" a="1"/>
  <c r="R9" i="2" a="1"/>
  <c r="G16" i="2" a="1"/>
  <c r="T13" i="2" a="1"/>
  <c r="C11" i="2" a="1"/>
  <c r="K9" i="2" a="1"/>
  <c r="L16" i="2" a="1"/>
  <c r="T6" i="2" a="1"/>
  <c r="P8" i="2" a="1"/>
  <c r="R12" i="2" a="1"/>
  <c r="G9" i="2" a="1"/>
  <c r="I16" i="2" a="1"/>
  <c r="H12" i="2" a="1"/>
  <c r="F8" i="2" a="1"/>
  <c r="P11" i="2" a="1"/>
  <c r="Q6" i="2" a="1"/>
  <c r="H6" i="2" a="1"/>
  <c r="F15" i="2" a="1"/>
  <c r="S13" i="2" a="1"/>
  <c r="L15" i="2" a="1"/>
  <c r="Q12" i="2" a="1"/>
  <c r="M13" i="2" a="1"/>
  <c r="M8" i="2" a="1"/>
  <c r="N12" i="2" a="1"/>
  <c r="Q13" i="2" a="1"/>
  <c r="P13" i="2" a="1"/>
  <c r="S12" i="2" a="1"/>
  <c r="O8" i="2" a="1"/>
  <c r="D6" i="2" a="1"/>
  <c r="E11" i="2" a="1"/>
  <c r="G13" i="2" a="1"/>
  <c r="I7" i="2" a="1"/>
  <c r="I8" i="2" a="1"/>
  <c r="N13" i="2" a="1"/>
  <c r="T12" i="2" a="1"/>
  <c r="C7" i="2" a="1"/>
  <c r="P6" i="2" a="1"/>
  <c r="O13" i="2" a="1"/>
  <c r="E15" i="2" a="1"/>
  <c r="Q7" i="2" a="1"/>
  <c r="I13" i="2" a="1"/>
  <c r="H16" i="2" a="1"/>
  <c r="S8" i="2" a="1"/>
  <c r="E8" i="2" a="1"/>
  <c r="I15" i="2" a="1"/>
  <c r="N9" i="2" a="1"/>
  <c r="C9" i="2" a="1"/>
  <c r="P15" i="2" a="1"/>
  <c r="R11" i="2" a="1"/>
  <c r="M15" i="2" a="1"/>
  <c r="C15" i="2" a="1"/>
  <c r="K16" i="2" a="1"/>
  <c r="O16" i="2" a="1"/>
  <c r="F9" i="2" a="1"/>
  <c r="P7" i="2" a="1"/>
  <c r="O11" i="2" a="1"/>
  <c r="Q8" i="2" a="1"/>
  <c r="G7" i="2" a="1"/>
  <c r="G8" i="2" a="1"/>
  <c r="C13" i="2" a="1"/>
  <c r="H8" i="2" a="1"/>
  <c r="K11" i="2" a="1"/>
  <c r="O7" i="2" a="1"/>
  <c r="D7" i="2" a="1"/>
  <c r="M6" i="2" a="1"/>
  <c r="H13" i="2" a="1"/>
  <c r="K15" i="2" a="1"/>
  <c r="N6" i="2" a="1"/>
  <c r="D13" i="2" a="1"/>
  <c r="R7" i="2" a="1"/>
  <c r="E7" i="2" a="1"/>
  <c r="F6" i="2" a="1"/>
  <c r="K8" i="2" a="1"/>
  <c r="L12" i="2" a="1"/>
  <c r="G12" i="2" a="1"/>
  <c r="F16" i="2" a="1"/>
  <c r="F13" i="2" a="1"/>
  <c r="R16" i="2" a="1"/>
  <c r="I6" i="2" a="1"/>
  <c r="S16" i="2" a="1"/>
  <c r="I11" i="2" a="1"/>
  <c r="H15" i="2" a="1"/>
  <c r="E16" i="2" a="1"/>
  <c r="I12" i="2" a="1"/>
  <c r="O9" i="2" a="1"/>
  <c r="D8" i="2" a="1"/>
  <c r="R13" i="2" a="1"/>
  <c r="L13" i="2" a="1"/>
  <c r="M12" i="2" a="1"/>
  <c r="C8" i="2" a="1"/>
  <c r="N11" i="2" a="1"/>
  <c r="C6" i="2" a="1"/>
  <c r="K6" i="2" a="1"/>
  <c r="K12" i="2" a="1"/>
  <c r="D15" i="2" a="1"/>
  <c r="D16" i="2" a="1"/>
  <c r="H7" i="2" a="1"/>
  <c r="L8" i="2" a="1"/>
  <c r="S9" i="2" a="1"/>
  <c r="G6" i="2" a="1"/>
  <c r="T15" i="2" a="1"/>
  <c r="G11" i="2" a="1"/>
  <c r="R6" i="2" a="1"/>
  <c r="C12" i="2" a="1"/>
  <c r="M16" i="2" a="1"/>
  <c r="T9" i="2" a="1"/>
  <c r="D9" i="2" a="1"/>
  <c r="T7" i="2" a="1"/>
  <c r="Q15" i="2" a="1"/>
  <c r="S7" i="2" a="1"/>
  <c r="F12" i="2" a="1"/>
  <c r="C16" i="2" a="1"/>
  <c r="N7" i="2" a="1"/>
  <c r="T16" i="2" a="1"/>
  <c r="S11" i="2" a="1"/>
  <c r="E6" i="2" a="1"/>
  <c r="K7" i="2" a="1"/>
  <c r="E12" i="2" a="1"/>
  <c r="D11" i="2" a="1"/>
  <c r="Q16" i="2" a="1"/>
  <c r="L6" i="2" a="1"/>
  <c r="L7" i="2" a="1"/>
  <c r="H11" i="2" a="1"/>
  <c r="J16" i="2" l="1"/>
  <c r="J11" i="2"/>
  <c r="J9" i="2"/>
  <c r="J6" i="2"/>
  <c r="J12" i="2"/>
  <c r="J8" i="2"/>
  <c r="J15" i="2"/>
  <c r="J7" i="2"/>
  <c r="J13" i="2"/>
  <c r="H11" i="2"/>
  <c r="L7" i="2"/>
  <c r="L6" i="2"/>
  <c r="Q16" i="2"/>
  <c r="D11" i="2"/>
  <c r="E12" i="2"/>
  <c r="K7" i="2"/>
  <c r="E6" i="2"/>
  <c r="S11" i="2"/>
  <c r="T16" i="2"/>
  <c r="N7" i="2"/>
  <c r="C16" i="2"/>
  <c r="F12" i="2"/>
  <c r="S7" i="2"/>
  <c r="Q15" i="2"/>
  <c r="T7" i="2"/>
  <c r="D9" i="2"/>
  <c r="T9" i="2"/>
  <c r="M16" i="2"/>
  <c r="C12" i="2"/>
  <c r="R6" i="2"/>
  <c r="G11" i="2"/>
  <c r="T15" i="2"/>
  <c r="G6" i="2"/>
  <c r="S9" i="2"/>
  <c r="L8" i="2"/>
  <c r="H7" i="2"/>
  <c r="D16" i="2"/>
  <c r="D15" i="2"/>
  <c r="K12" i="2"/>
  <c r="K6" i="2"/>
  <c r="C6" i="2"/>
  <c r="N11" i="2"/>
  <c r="C8" i="2"/>
  <c r="M12" i="2"/>
  <c r="L13" i="2"/>
  <c r="R13" i="2"/>
  <c r="D8" i="2"/>
  <c r="O9" i="2"/>
  <c r="I12" i="2"/>
  <c r="E16" i="2"/>
  <c r="H15" i="2"/>
  <c r="I11" i="2"/>
  <c r="S16" i="2"/>
  <c r="I6" i="2"/>
  <c r="R16" i="2"/>
  <c r="F13" i="2"/>
  <c r="F16" i="2"/>
  <c r="G12" i="2"/>
  <c r="L12" i="2"/>
  <c r="K8" i="2"/>
  <c r="F6" i="2"/>
  <c r="E7" i="2"/>
  <c r="R7" i="2"/>
  <c r="D13" i="2"/>
  <c r="N6" i="2"/>
  <c r="K15" i="2"/>
  <c r="H13" i="2"/>
  <c r="M6" i="2"/>
  <c r="D7" i="2"/>
  <c r="O7" i="2"/>
  <c r="K11" i="2"/>
  <c r="H8" i="2"/>
  <c r="C13" i="2"/>
  <c r="G8" i="2"/>
  <c r="G7" i="2"/>
  <c r="Q8" i="2"/>
  <c r="O11" i="2"/>
  <c r="P7" i="2"/>
  <c r="F9" i="2"/>
  <c r="O16" i="2"/>
  <c r="K16" i="2"/>
  <c r="C15" i="2"/>
  <c r="M15" i="2"/>
  <c r="R11" i="2"/>
  <c r="P15" i="2"/>
  <c r="C9" i="2"/>
  <c r="N9" i="2"/>
  <c r="I15" i="2"/>
  <c r="E8" i="2"/>
  <c r="S8" i="2"/>
  <c r="H16" i="2"/>
  <c r="I13" i="2"/>
  <c r="Q7" i="2"/>
  <c r="E15" i="2"/>
  <c r="O13" i="2"/>
  <c r="P6" i="2"/>
  <c r="C7" i="2"/>
  <c r="T12" i="2"/>
  <c r="N13" i="2"/>
  <c r="I8" i="2"/>
  <c r="I7" i="2"/>
  <c r="G13" i="2"/>
  <c r="E11" i="2"/>
  <c r="D6" i="2"/>
  <c r="O8" i="2"/>
  <c r="S12" i="2"/>
  <c r="P13" i="2"/>
  <c r="Q13" i="2"/>
  <c r="N12" i="2"/>
  <c r="M8" i="2"/>
  <c r="M13" i="2"/>
  <c r="Q12" i="2"/>
  <c r="L15" i="2"/>
  <c r="S13" i="2"/>
  <c r="F15" i="2"/>
  <c r="H6" i="2"/>
  <c r="Q6" i="2"/>
  <c r="P11" i="2"/>
  <c r="F8" i="2"/>
  <c r="H12" i="2"/>
  <c r="I16" i="2"/>
  <c r="G9" i="2"/>
  <c r="R12" i="2"/>
  <c r="P8" i="2"/>
  <c r="T6" i="2"/>
  <c r="L16" i="2"/>
  <c r="K9" i="2"/>
  <c r="C11" i="2"/>
  <c r="T13" i="2"/>
  <c r="G16" i="2"/>
  <c r="R9" i="2"/>
  <c r="R8" i="2"/>
  <c r="N15" i="2"/>
  <c r="P12" i="2"/>
  <c r="F7" i="2"/>
  <c r="I9" i="2"/>
  <c r="E9" i="2"/>
  <c r="L9" i="2"/>
  <c r="O6" i="2"/>
  <c r="K13" i="2"/>
  <c r="T11" i="2"/>
  <c r="M11" i="2"/>
  <c r="M9" i="2"/>
  <c r="L11" i="2"/>
  <c r="O15" i="2"/>
  <c r="P9" i="2"/>
  <c r="F11" i="2"/>
  <c r="M7" i="2"/>
  <c r="G15" i="2"/>
  <c r="R15" i="2"/>
  <c r="S15" i="2"/>
  <c r="T8" i="2"/>
  <c r="H9" i="2"/>
  <c r="N8" i="2"/>
  <c r="D12" i="2"/>
  <c r="E13" i="2"/>
  <c r="Q9" i="2"/>
  <c r="Q11" i="2"/>
  <c r="N16" i="2"/>
  <c r="O12" i="2"/>
  <c r="S6" i="2"/>
  <c r="P16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<sst xmlns="http://schemas.openxmlformats.org/spreadsheetml/2006/main" count="62" uniqueCount="62">
  <si>
    <t>Tokyo Stock Exchange Tokyo Stock Price Index TOPIX (TPX) - Profitability</t>
  </si>
  <si>
    <t>CY 2007</t>
  </si>
  <si>
    <t>CY 2008</t>
  </si>
  <si>
    <t>CY 2009</t>
  </si>
  <si>
    <t>CY 2010</t>
  </si>
  <si>
    <t>CY 2011</t>
  </si>
  <si>
    <t>CY 2012</t>
  </si>
  <si>
    <t>CY 2013</t>
  </si>
  <si>
    <t>CY 2014</t>
  </si>
  <si>
    <t>CY 2015</t>
  </si>
  <si>
    <t>CY 2016</t>
  </si>
  <si>
    <t>CY 2017</t>
  </si>
  <si>
    <t>CY 2018</t>
  </si>
  <si>
    <t>CY 2019</t>
  </si>
  <si>
    <t>CY 2020</t>
  </si>
  <si>
    <t>CY 2021</t>
  </si>
  <si>
    <t>CY 2022</t>
  </si>
  <si>
    <t>CY 2023</t>
  </si>
  <si>
    <t>CY 2024</t>
  </si>
  <si>
    <t>CY 2025 Est</t>
  </si>
  <si>
    <t>CY 2026 Est</t>
  </si>
  <si>
    <t>12 Months Ending</t>
  </si>
  <si>
    <t>12/31/2007</t>
  </si>
  <si>
    <t>12/31/2008</t>
  </si>
  <si>
    <t>12/31/2009</t>
  </si>
  <si>
    <t>12/31/2010</t>
  </si>
  <si>
    <t>12/30/2011</t>
  </si>
  <si>
    <t>12/31/2012</t>
  </si>
  <si>
    <t>12/31/2013</t>
  </si>
  <si>
    <t>12/31/2014</t>
  </si>
  <si>
    <t>12/31/2015</t>
  </si>
  <si>
    <t>12/30/2016</t>
  </si>
  <si>
    <t>12/29/2017</t>
  </si>
  <si>
    <t>12/31/2018</t>
  </si>
  <si>
    <t>12/31/2019</t>
  </si>
  <si>
    <t>12/31/2020</t>
  </si>
  <si>
    <t>12/31/2021</t>
  </si>
  <si>
    <t>12/30/2022</t>
  </si>
  <si>
    <t>12/29/2023</t>
  </si>
  <si>
    <t>12/31/2024</t>
  </si>
  <si>
    <t>12/31/2025</t>
  </si>
  <si>
    <t>12/31/2026</t>
  </si>
  <si>
    <t>Gross Margin</t>
  </si>
  <si>
    <t>TRAIL_12M_GROSS_MARGIN</t>
  </si>
  <si>
    <t>EBITDA Margin</t>
  </si>
  <si>
    <t>EBITDA_MARGIN</t>
  </si>
  <si>
    <t>Operating Margin</t>
  </si>
  <si>
    <t>TRAIL_12M_OPER_MARGIN</t>
  </si>
  <si>
    <t>Profit Margin</t>
  </si>
  <si>
    <t>TRAIL_12M_PROF_MARGIN</t>
  </si>
  <si>
    <t>Return on Assets</t>
  </si>
  <si>
    <t>RETURN_ON_ASSET</t>
  </si>
  <si>
    <t>Return on Common Equity</t>
  </si>
  <si>
    <t>RETURN_COM_EQY</t>
  </si>
  <si>
    <t>Return on Capital</t>
  </si>
  <si>
    <t>RETURN_ON_CAP</t>
  </si>
  <si>
    <t>Dividend Payout Ratio</t>
  </si>
  <si>
    <t>DVD_PAYOUT_RATIO</t>
  </si>
  <si>
    <t>Sales Per Employee</t>
  </si>
  <si>
    <t>ACTUAL_SALES_PER_EMPL</t>
  </si>
  <si>
    <t>Source: Bloomberg</t>
  </si>
  <si>
    <t>Right click to show data transparency (not supported for all values)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</si>
</sst>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9"/>
      <name val="Calibri"/>
      <family val="2"/>
    </font>
    <font>
      <sz val="10"/>
      <color indexed="63"/>
      <name val="Arial"/>
      <family val="2"/>
    </font>
    <font>
      <b/>
      <sz val="16"/>
      <color indexed="9"/>
      <name val="Arial"/>
      <family val="2"/>
    </font>
    <font>
      <sz val="10"/>
      <name val="Calibri"/>
      <family val="2"/>
    </font>
    <font>
      <b/>
      <sz val="10"/>
      <color indexed="9"/>
      <name val="Arial"/>
      <family val="2"/>
    </font>
    <font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53">
    <xf numFmtId="0" fontId="0" fillId="0" borderId="0"/>
    <xf numFmtId="0" fontId="9" fillId="10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11" borderId="0" applyNumberFormat="0" applyBorder="0" applyAlignment="0" applyProtection="0"/>
    <xf numFmtId="0" fontId="9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23" borderId="0" applyNumberFormat="0" applyBorder="0" applyAlignment="0" applyProtection="0"/>
    <xf numFmtId="0" fontId="9" fillId="27" borderId="0" applyNumberFormat="0" applyBorder="0" applyAlignment="0" applyProtection="0"/>
    <xf numFmtId="0" fontId="9" fillId="31" borderId="0" applyNumberFormat="0" applyBorder="0" applyAlignment="0" applyProtection="0"/>
    <xf numFmtId="0" fontId="25" fillId="12" borderId="0" applyNumberFormat="0" applyBorder="0" applyAlignment="0" applyProtection="0"/>
    <xf numFmtId="0" fontId="25" fillId="16" borderId="0" applyNumberFormat="0" applyBorder="0" applyAlignment="0" applyProtection="0"/>
    <xf numFmtId="0" fontId="25" fillId="20" borderId="0" applyNumberFormat="0" applyBorder="0" applyAlignment="0" applyProtection="0"/>
    <xf numFmtId="0" fontId="25" fillId="24" borderId="0" applyNumberFormat="0" applyBorder="0" applyAlignment="0" applyProtection="0"/>
    <xf numFmtId="0" fontId="25" fillId="28" borderId="0" applyNumberFormat="0" applyBorder="0" applyAlignment="0" applyProtection="0"/>
    <xf numFmtId="0" fontId="25" fillId="32" borderId="0" applyNumberFormat="0" applyBorder="0" applyAlignment="0" applyProtection="0"/>
    <xf numFmtId="0" fontId="25" fillId="9" borderId="0" applyNumberFormat="0" applyBorder="0" applyAlignment="0" applyProtection="0"/>
    <xf numFmtId="0" fontId="25" fillId="13" borderId="0" applyNumberFormat="0" applyBorder="0" applyAlignment="0" applyProtection="0"/>
    <xf numFmtId="0" fontId="25" fillId="17" borderId="0" applyNumberFormat="0" applyBorder="0" applyAlignment="0" applyProtection="0"/>
    <xf numFmtId="0" fontId="25" fillId="21" borderId="0" applyNumberFormat="0" applyBorder="0" applyAlignment="0" applyProtection="0"/>
    <xf numFmtId="0" fontId="25" fillId="25" borderId="0" applyNumberFormat="0" applyBorder="0" applyAlignment="0" applyProtection="0"/>
    <xf numFmtId="0" fontId="25" fillId="29" borderId="0" applyNumberFormat="0" applyBorder="0" applyAlignment="0" applyProtection="0"/>
    <xf numFmtId="0" fontId="15" fillId="3" borderId="0" applyNumberFormat="0" applyBorder="0" applyAlignment="0" applyProtection="0"/>
    <xf numFmtId="0" fontId="2" fillId="33" borderId="0"/>
    <xf numFmtId="0" fontId="19" fillId="6" borderId="9" applyNumberFormat="0" applyAlignment="0" applyProtection="0"/>
    <xf numFmtId="0" fontId="21" fillId="7" borderId="12" applyNumberFormat="0" applyAlignment="0" applyProtection="0"/>
    <xf numFmtId="0" fontId="23" fillId="0" borderId="0" applyNumberFormat="0" applyFill="0" applyBorder="0" applyAlignment="0" applyProtection="0"/>
    <xf numFmtId="0" fontId="6" fillId="33" borderId="1">
      <alignment horizontal="right"/>
    </xf>
    <xf numFmtId="0" fontId="5" fillId="34" borderId="0" applyNumberFormat="0" applyBorder="0" applyProtection="0">
      <alignment horizontal="center"/>
    </xf>
    <xf numFmtId="0" fontId="6" fillId="33" borderId="3">
      <alignment horizontal="right"/>
    </xf>
    <xf numFmtId="0" fontId="6" fillId="33" borderId="3">
      <alignment horizontal="left"/>
    </xf>
    <xf numFmtId="0" fontId="8" fillId="35" borderId="4" applyNumberFormat="0" applyAlignment="0" applyProtection="0"/>
    <xf numFmtId="0" fontId="7" fillId="34" borderId="5"/>
    <xf numFmtId="0" fontId="14" fillId="2" borderId="0" applyNumberFormat="0" applyBorder="0" applyAlignment="0" applyProtection="0"/>
    <xf numFmtId="0" fontId="11" fillId="0" borderId="6" applyNumberFormat="0" applyFill="0" applyAlignment="0" applyProtection="0"/>
    <xf numFmtId="0" fontId="12" fillId="0" borderId="7" applyNumberFormat="0" applyFill="0" applyAlignment="0" applyProtection="0"/>
    <xf numFmtId="0" fontId="13" fillId="0" borderId="8" applyNumberFormat="0" applyFill="0" applyAlignment="0" applyProtection="0"/>
    <xf numFmtId="0" fontId="13" fillId="0" borderId="0" applyNumberFormat="0" applyFill="0" applyBorder="0" applyAlignment="0" applyProtection="0"/>
    <xf numFmtId="0" fontId="17" fillId="5" borderId="9" applyNumberFormat="0" applyAlignment="0" applyProtection="0"/>
    <xf numFmtId="0" fontId="20" fillId="0" borderId="11" applyNumberFormat="0" applyFill="0" applyAlignment="0" applyProtection="0"/>
    <xf numFmtId="0" fontId="16" fillId="4" borderId="0" applyNumberFormat="0" applyBorder="0" applyAlignment="0" applyProtection="0"/>
    <xf numFmtId="0" fontId="9" fillId="8" borderId="13" applyNumberFormat="0" applyFont="0" applyAlignment="0" applyProtection="0"/>
    <xf numFmtId="0" fontId="18" fillId="6" borderId="10" applyNumberFormat="0" applyAlignment="0" applyProtection="0"/>
    <xf numFmtId="0" fontId="10" fillId="0" borderId="0" applyNumberFormat="0" applyFill="0" applyBorder="0" applyAlignment="0" applyProtection="0"/>
    <xf numFmtId="0" fontId="24" fillId="0" borderId="14" applyNumberFormat="0" applyFill="0" applyAlignment="0" applyProtection="0"/>
    <xf numFmtId="0" fontId="22" fillId="0" borderId="0" applyNumberFormat="0" applyFill="0" applyBorder="0" applyAlignment="0" applyProtection="0"/>
    <xf numFmtId="0" fontId="4" fillId="33" borderId="15" applyNumberFormat="0" applyProtection="0">
      <alignment horizontal="left" vertical="center" readingOrder="1"/>
    </xf>
    <xf numFmtId="0" fontId="6" fillId="33" borderId="1">
      <alignment horizontal="left"/>
    </xf>
    <xf numFmtId="3" fontId="1" fillId="34" borderId="2">
      <alignment horizontal="right"/>
    </xf>
    <xf numFmtId="4" fontId="1" fillId="34" borderId="2">
      <alignment horizontal="right"/>
    </xf>
  </cellStyleXfs>
  <cellXfs count="12">
    <xf numFmtId="0" fontId="0" fillId="0" borderId="0" xfId="0"/>
    <xf numFmtId="0" fontId="2" fillId="33" borderId="0" xfId="26"/>
    <xf numFmtId="0" fontId="5" fillId="34" borderId="0" xfId="31">
      <alignment horizontal="center"/>
    </xf>
    <xf numFmtId="0" fontId="6" fillId="33" borderId="3" xfId="33">
      <alignment horizontal="left"/>
    </xf>
    <xf numFmtId="0" fontId="6" fillId="33" borderId="3" xfId="32">
      <alignment horizontal="right"/>
    </xf>
    <xf numFmtId="0" fontId="6" fillId="33" borderId="1" xfId="30">
      <alignment horizontal="right"/>
    </xf>
    <xf numFmtId="0" fontId="8" fillId="35" borderId="4" xfId="34"/>
    <xf numFmtId="0" fontId="4" fillId="33" borderId="15" xfId="49">
      <alignment horizontal="left" vertical="center" readingOrder="1"/>
    </xf>
    <xf numFmtId="0" fontId="6" fillId="33" borderId="1" xfId="50">
      <alignment horizontal="left"/>
    </xf>
    <xf numFmtId="0" fontId="3" fillId="34" borderId="5" xfId="35" applyFont="1"/>
    <xf numFmtId="3" fontId="1" fillId="34" borderId="2" xfId="51">
      <alignment horizontal="right"/>
    </xf>
    <xf numFmtId="4" fontId="1" fillId="34" borderId="2" xfId="52">
      <alignment horizontal="right"/>
    </xf>
  </cellXfs>
  <cellStyles count="5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title_header_row_left" xfId="49" xr:uid="{00000000-0005-0000-0000-00001A000000}"/>
    <cellStyle name="Calculation" xfId="27" builtinId="22" customBuiltin="1"/>
    <cellStyle name="Check Cell" xfId="28" builtinId="23" customBuiltin="1"/>
    <cellStyle name="Explanatory Text" xfId="29" builtinId="53" customBuiltin="1"/>
    <cellStyle name="fa_column_header_bottom" xfId="30" xr:uid="{00000000-0005-0000-0000-00001E000000}"/>
    <cellStyle name="fa_column_header_bottom_left" xfId="50" xr:uid="{00000000-0005-0000-0000-00001F000000}"/>
    <cellStyle name="fa_column_header_empty" xfId="31" xr:uid="{00000000-0005-0000-0000-000020000000}"/>
    <cellStyle name="fa_column_header_top" xfId="32" xr:uid="{00000000-0005-0000-0000-000021000000}"/>
    <cellStyle name="fa_column_header_top_left" xfId="33" xr:uid="{00000000-0005-0000-0000-000022000000}"/>
    <cellStyle name="fa_data_standard_0_grouped" xfId="51" xr:uid="{00000000-0005-0000-0000-000023000000}"/>
    <cellStyle name="fa_data_standard_2_grouped" xfId="52" xr:uid="{00000000-0005-0000-0000-000024000000}"/>
    <cellStyle name="fa_footer_italic" xfId="34" xr:uid="{00000000-0005-0000-0000-000025000000}"/>
    <cellStyle name="fa_row_header_standard" xfId="35" xr:uid="{00000000-0005-0000-0000-000026000000}"/>
    <cellStyle name="Good" xfId="36" builtinId="26" customBuiltin="1"/>
    <cellStyle name="Heading 1" xfId="37" builtinId="16" customBuiltin="1"/>
    <cellStyle name="Heading 2" xfId="38" builtinId="17" customBuiltin="1"/>
    <cellStyle name="Heading 3" xfId="39" builtinId="18" customBuiltin="1"/>
    <cellStyle name="Heading 4" xfId="40" builtinId="19" customBuiltin="1"/>
    <cellStyle name="Input" xfId="41" builtinId="20" customBuiltin="1"/>
    <cellStyle name="Linked Cell" xfId="42" builtinId="24" customBuiltin="1"/>
    <cellStyle name="Neutral" xfId="43" builtinId="28" customBuiltin="1"/>
    <cellStyle name="Normal" xfId="0" builtinId="0"/>
    <cellStyle name="Note" xfId="44" builtinId="10" customBuiltin="1"/>
    <cellStyle name="Output" xfId="45" builtinId="21" customBuiltin="1"/>
    <cellStyle name="Title" xfId="46" builtinId="15" customBuiltin="1"/>
    <cellStyle name="Total" xfId="47" builtinId="25" customBuiltin="1"/>
    <cellStyle name="Warning Text" xfId="48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7"/>
  <sheetViews>
    <sheetView tabSelected="1" workbookViewId="0"/>
  </sheetViews>
  <sheetFormatPr defaultRowHeight="15"/>
  <cols>
    <col min="1" max="1" width="35.140625" customWidth="1"/>
    <col min="2" max="2" width="0" hidden="1" customWidth="1"/>
    <col min="3" max="22" width="13" customWidth="1"/>
  </cols>
  <sheetData>
    <row r="1" spans="1:2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0.25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pans="1:2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>
      <c r="A4" s="3"/>
      <c r="B4" s="3"/>
      <c r="C4" s="4" t="s">
        <v>1</v>
      </c>
      <c r="D4" s="4" t="s">
        <v>2</v>
      </c>
      <c r="E4" s="4" t="s">
        <v>3</v>
      </c>
      <c r="F4" s="4" t="s">
        <v>4</v>
      </c>
      <c r="G4" s="4" t="s">
        <v>5</v>
      </c>
      <c r="H4" s="4" t="s">
        <v>6</v>
      </c>
      <c r="I4" s="4" t="s">
        <v>7</v>
      </c>
      <c r="J4" s="4" t="s">
        <v>8</v>
      </c>
      <c r="K4" s="4" t="s">
        <v>9</v>
      </c>
      <c r="L4" s="4" t="s">
        <v>10</v>
      </c>
      <c r="M4" s="4" t="s">
        <v>11</v>
      </c>
      <c r="N4" s="4" t="s">
        <v>12</v>
      </c>
      <c r="O4" s="4" t="s">
        <v>13</v>
      </c>
      <c r="P4" s="4" t="s">
        <v>14</v>
      </c>
      <c r="Q4" s="4" t="s">
        <v>15</v>
      </c>
      <c r="R4" s="4" t="s">
        <v>16</v>
      </c>
      <c r="S4" s="4" t="s">
        <v>17</v>
      </c>
      <c r="T4" s="4" t="s">
        <v>18</v>
      </c>
      <c r="U4" s="4" t="s">
        <v>19</v>
      </c>
      <c r="V4" s="4" t="s">
        <v>20</v>
      </c>
    </row>
    <row r="5" spans="1:22">
      <c r="A5" s="8" t="s">
        <v>21</v>
      </c>
      <c r="B5" s="8"/>
      <c r="C5" s="5" t="s">
        <v>22</v>
      </c>
      <c r="D5" s="5" t="s">
        <v>23</v>
      </c>
      <c r="E5" s="5" t="s">
        <v>24</v>
      </c>
      <c r="F5" s="5" t="s">
        <v>25</v>
      </c>
      <c r="G5" s="5" t="s">
        <v>26</v>
      </c>
      <c r="H5" s="5" t="s">
        <v>27</v>
      </c>
      <c r="I5" s="5" t="s">
        <v>28</v>
      </c>
      <c r="J5" s="5" t="s">
        <v>29</v>
      </c>
      <c r="K5" s="5" t="s">
        <v>30</v>
      </c>
      <c r="L5" s="5" t="s">
        <v>31</v>
      </c>
      <c r="M5" s="5" t="s">
        <v>32</v>
      </c>
      <c r="N5" s="5" t="s">
        <v>33</v>
      </c>
      <c r="O5" s="5" t="s">
        <v>34</v>
      </c>
      <c r="P5" s="5" t="s">
        <v>35</v>
      </c>
      <c r="Q5" s="5" t="s">
        <v>36</v>
      </c>
      <c r="R5" s="5" t="s">
        <v>37</v>
      </c>
      <c r="S5" s="5" t="s">
        <v>38</v>
      </c>
      <c r="T5" s="5" t="s">
        <v>39</v>
      </c>
      <c r="U5" s="5" t="s">
        <v>40</v>
      </c>
      <c r="V5" s="5" t="s">
        <v>41</v>
      </c>
    </row>
    <row r="6" spans="1:22">
      <c r="A6" s="9" t="s">
        <v>42</v>
      </c>
      <c r="B6" s="9" t="s">
        <v>43</v>
      </c>
      <c r="C6" s="11" cm="1">
        <f t="array" ref="C6">_xll.BDH("TPX Index","TRAIL_12M_GROSS_MARGIN","CY 2007","CY 2007","Currency=USD","Period=CY","FUND_PER=Y","BEST_FPERIOD_OVERRIDE=1GY","FA_ADJUSTED=GAAP","Sort=A","Dates=H","DateFormat=P","Fill=—","Direction=H","UseDPDF=Y")</f>
        <v>27.089500000000001</v>
      </c>
      <c r="D6" s="11" cm="1">
        <f t="array" ref="D6">_xll.BDH("TPX Index","TRAIL_12M_GROSS_MARGIN","CY 2008","CY 2008","Currency=USD","Period=CY","FUND_PER=Y","BEST_FPERIOD_OVERRIDE=1GY","FA_ADJUSTED=GAAP","Sort=A","Dates=H","DateFormat=P","Fill=—","Direction=H","UseDPDF=Y")</f>
        <v>27.436499999999999</v>
      </c>
      <c r="E6" s="11" cm="1">
        <f t="array" ref="E6">_xll.BDH("TPX Index","TRAIL_12M_GROSS_MARGIN","CY 2009","CY 2009","Currency=USD","Period=CY","FUND_PER=Y","BEST_FPERIOD_OVERRIDE=1GY","FA_ADJUSTED=GAAP","Sort=A","Dates=H","DateFormat=P","Fill=—","Direction=H","UseDPDF=Y")</f>
        <v>24.6587</v>
      </c>
      <c r="F6" s="11" cm="1">
        <f t="array" ref="F6">_xll.BDH("TPX Index","TRAIL_12M_GROSS_MARGIN","CY 2010","CY 2010","Currency=USD","Period=CY","FUND_PER=Y","BEST_FPERIOD_OVERRIDE=1GY","FA_ADJUSTED=GAAP","Sort=A","Dates=H","DateFormat=P","Fill=—","Direction=H","UseDPDF=Y")</f>
        <v>27.0288</v>
      </c>
      <c r="G6" s="11" cm="1">
        <f t="array" ref="G6">_xll.BDH("TPX Index","TRAIL_12M_GROSS_MARGIN","CY 2011","CY 2011","Currency=USD","Period=CY","FUND_PER=Y","BEST_FPERIOD_OVERRIDE=1GY","FA_ADJUSTED=GAAP","Sort=A","Dates=H","DateFormat=P","Fill=—","Direction=H","UseDPDF=Y")</f>
        <v>26.214200000000002</v>
      </c>
      <c r="H6" s="11" cm="1">
        <f t="array" ref="H6">_xll.BDH("TPX Index","TRAIL_12M_GROSS_MARGIN","CY 2012","CY 2012","Currency=USD","Period=CY","FUND_PER=Y","BEST_FPERIOD_OVERRIDE=1GY","FA_ADJUSTED=GAAP","Sort=A","Dates=H","DateFormat=P","Fill=—","Direction=H","UseDPDF=Y")</f>
        <v>25.529399999999999</v>
      </c>
      <c r="I6" s="11" cm="1">
        <f t="array" ref="I6">_xll.BDH("TPX Index","TRAIL_12M_GROSS_MARGIN","CY 2013","CY 2013","Currency=USD","Period=CY","FUND_PER=Y","BEST_FPERIOD_OVERRIDE=1GY","FA_ADJUSTED=GAAP","Sort=A","Dates=H","DateFormat=P","Fill=—","Direction=H","UseDPDF=Y")</f>
        <v>26.158000000000001</v>
      </c>
      <c r="J6" s="11" cm="1">
        <f t="array" ref="J6">_xll.BDH("TPX Index","TRAIL_12M_GROSS_MARGIN","CY 2014","CY 2014","Currency=USD","Period=CY","FUND_PER=Y","BEST_FPERIOD_OVERRIDE=1GY","FA_ADJUSTED=GAAP","Sort=A","Dates=H","DateFormat=P","Fill=—","Direction=H","UseDPDF=Y")</f>
        <v>26.508099999999999</v>
      </c>
      <c r="K6" s="11" cm="1">
        <f t="array" ref="K6">_xll.BDH("TPX Index","TRAIL_12M_GROSS_MARGIN","CY 2015","CY 2015","Currency=USD","Period=CY","FUND_PER=Y","BEST_FPERIOD_OVERRIDE=1GY","FA_ADJUSTED=GAAP","Sort=A","Dates=H","DateFormat=P","Fill=—","Direction=H","UseDPDF=Y")</f>
        <v>27.308299999999999</v>
      </c>
      <c r="L6" s="11" cm="1">
        <f t="array" ref="L6">_xll.BDH("TPX Index","TRAIL_12M_GROSS_MARGIN","CY 2016","CY 2016","Currency=USD","Period=CY","FUND_PER=Y","BEST_FPERIOD_OVERRIDE=1GY","FA_ADJUSTED=GAAP","Sort=A","Dates=H","DateFormat=P","Fill=—","Direction=H","UseDPDF=Y")</f>
        <v>27.270099999999999</v>
      </c>
      <c r="M6" s="11" cm="1">
        <f t="array" ref="M6">_xll.BDH("TPX Index","TRAIL_12M_GROSS_MARGIN","CY 2017","CY 2017","Currency=USD","Period=CY","FUND_PER=Y","BEST_FPERIOD_OVERRIDE=1GY","FA_ADJUSTED=GAAP","Sort=A","Dates=H","DateFormat=P","Fill=—","Direction=H","UseDPDF=Y")</f>
        <v>28.308199999999999</v>
      </c>
      <c r="N6" s="11" cm="1">
        <f t="array" ref="N6">_xll.BDH("TPX Index","TRAIL_12M_GROSS_MARGIN","CY 2018","CY 2018","Currency=USD","Period=CY","FUND_PER=Y","BEST_FPERIOD_OVERRIDE=1GY","FA_ADJUSTED=GAAP","Sort=A","Dates=H","DateFormat=P","Fill=—","Direction=H","UseDPDF=Y")</f>
        <v>27.625900000000001</v>
      </c>
      <c r="O6" s="11" cm="1">
        <f t="array" ref="O6">_xll.BDH("TPX Index","TRAIL_12M_GROSS_MARGIN","CY 2019","CY 2019","Currency=USD","Period=CY","FUND_PER=Y","BEST_FPERIOD_OVERRIDE=1GY","FA_ADJUSTED=GAAP","Sort=A","Dates=H","DateFormat=P","Fill=—","Direction=H","UseDPDF=Y")</f>
        <v>26.0229</v>
      </c>
      <c r="P6" s="11" cm="1">
        <f t="array" ref="P6">_xll.BDH("TPX Index","TRAIL_12M_GROSS_MARGIN","CY 2020","CY 2020","Currency=USD","Period=CY","FUND_PER=Y","BEST_FPERIOD_OVERRIDE=1GY","FA_ADJUSTED=GAAP","Sort=A","Dates=H","DateFormat=P","Fill=—","Direction=H","UseDPDF=Y")</f>
        <v>25.208600000000001</v>
      </c>
      <c r="Q6" s="11" cm="1">
        <f t="array" ref="Q6">_xll.BDH("TPX Index","TRAIL_12M_GROSS_MARGIN","CY 2021","CY 2021","Currency=USD","Period=CY","FUND_PER=Y","BEST_FPERIOD_OVERRIDE=1GY","FA_ADJUSTED=GAAP","Sort=A","Dates=H","DateFormat=P","Fill=—","Direction=H","UseDPDF=Y")</f>
        <v>25.9374</v>
      </c>
      <c r="R6" s="11" cm="1">
        <f t="array" ref="R6">_xll.BDH("TPX Index","TRAIL_12M_GROSS_MARGIN","CY 2022","CY 2022","Currency=USD","Period=CY","FUND_PER=Y","BEST_FPERIOD_OVERRIDE=1GY","FA_ADJUSTED=GAAP","Sort=A","Dates=H","DateFormat=P","Fill=—","Direction=H","UseDPDF=Y")</f>
        <v>25.327200000000001</v>
      </c>
      <c r="S6" s="11" cm="1">
        <f t="array" ref="S6">_xll.BDH("TPX Index","TRAIL_12M_GROSS_MARGIN","CY 2023","CY 2023","Currency=USD","Period=CY","FUND_PER=Y","BEST_FPERIOD_OVERRIDE=1GY","FA_ADJUSTED=GAAP","Sort=A","Dates=H","DateFormat=P","Fill=—","Direction=H","UseDPDF=Y")</f>
        <v>25.781300000000002</v>
      </c>
      <c r="T6" s="11" cm="1">
        <f t="array" ref="T6">_xll.BDH("TPX Index","TRAIL_12M_GROSS_MARGIN","CY 2024","CY 2024","Currency=USD","Period=CY","FUND_PER=Y","BEST_FPERIOD_OVERRIDE=1GY","FA_ADJUSTED=GAAP","Sort=A","Dates=H","DateFormat=P","Fill=—","Direction=H","UseDPDF=Y")</f>
        <v>26.645199999999999</v>
      </c>
      <c r="U6" s="11"/>
      <c r="V6" s="11"/>
    </row>
    <row r="7" spans="1:22">
      <c r="A7" s="9" t="s">
        <v>44</v>
      </c>
      <c r="B7" s="9" t="s">
        <v>45</v>
      </c>
      <c r="C7" s="11" cm="1">
        <f t="array" ref="C7">_xll.BDH("TPX Index","EBITDA_MARGIN","CY 2007","CY 2007","Currency=USD","Period=CY","FUND_PER=Y","BEST_FPERIOD_OVERRIDE=1GY","FA_ADJUSTED=GAAP","Sort=A","Dates=H","DateFormat=P","Fill=—","Direction=H","UseDPDF=Y")</f>
        <v>13.019500000000001</v>
      </c>
      <c r="D7" s="11" cm="1">
        <f t="array" ref="D7">_xll.BDH("TPX Index","EBITDA_MARGIN","CY 2008","CY 2008","Currency=USD","Period=CY","FUND_PER=Y","BEST_FPERIOD_OVERRIDE=1GY","FA_ADJUSTED=GAAP","Sort=A","Dates=H","DateFormat=P","Fill=—","Direction=H","UseDPDF=Y")</f>
        <v>12.2052</v>
      </c>
      <c r="E7" s="11" cm="1">
        <f t="array" ref="E7">_xll.BDH("TPX Index","EBITDA_MARGIN","CY 2009","CY 2009","Currency=USD","Period=CY","FUND_PER=Y","BEST_FPERIOD_OVERRIDE=1GY","FA_ADJUSTED=GAAP","Sort=A","Dates=H","DateFormat=P","Fill=—","Direction=H","UseDPDF=Y")</f>
        <v>8.3262</v>
      </c>
      <c r="F7" s="11" cm="1">
        <f t="array" ref="F7">_xll.BDH("TPX Index","EBITDA_MARGIN","CY 2010","CY 2010","Currency=USD","Period=CY","FUND_PER=Y","BEST_FPERIOD_OVERRIDE=1GY","FA_ADJUSTED=GAAP","Sort=A","Dates=H","DateFormat=P","Fill=—","Direction=H","UseDPDF=Y")</f>
        <v>11.610300000000001</v>
      </c>
      <c r="G7" s="11" cm="1">
        <f t="array" ref="G7">_xll.BDH("TPX Index","EBITDA_MARGIN","CY 2011","CY 2011","Currency=USD","Period=CY","FUND_PER=Y","BEST_FPERIOD_OVERRIDE=1GY","FA_ADJUSTED=GAAP","Sort=A","Dates=H","DateFormat=P","Fill=—","Direction=H","UseDPDF=Y")</f>
        <v>11.078099999999999</v>
      </c>
      <c r="H7" s="11" cm="1">
        <f t="array" ref="H7">_xll.BDH("TPX Index","EBITDA_MARGIN","CY 2012","CY 2012","Currency=USD","Period=CY","FUND_PER=Y","BEST_FPERIOD_OVERRIDE=1GY","FA_ADJUSTED=GAAP","Sort=A","Dates=H","DateFormat=P","Fill=—","Direction=H","UseDPDF=Y")</f>
        <v>10.2273</v>
      </c>
      <c r="I7" s="11" cm="1">
        <f t="array" ref="I7">_xll.BDH("TPX Index","EBITDA_MARGIN","CY 2013","CY 2013","Currency=USD","Period=CY","FUND_PER=Y","BEST_FPERIOD_OVERRIDE=1GY","FA_ADJUSTED=GAAP","Sort=A","Dates=H","DateFormat=P","Fill=—","Direction=H","UseDPDF=Y")</f>
        <v>10.9748</v>
      </c>
      <c r="J7" s="11" cm="1">
        <f t="array" ref="J7">_xll.BDH("TPX Index","EBITDA_MARGIN","CY 2014","CY 2014","Currency=USD","Period=CY","FUND_PER=Y","BEST_FPERIOD_OVERRIDE=1GY","FA_ADJUSTED=GAAP","Sort=A","Dates=H","DateFormat=P","Fill=—","Direction=H","UseDPDF=Y")</f>
        <v>11.2607</v>
      </c>
      <c r="K7" s="11" cm="1">
        <f t="array" ref="K7">_xll.BDH("TPX Index","EBITDA_MARGIN","CY 2015","CY 2015","Currency=USD","Period=CY","FUND_PER=Y","BEST_FPERIOD_OVERRIDE=1GY","FA_ADJUSTED=GAAP","Sort=A","Dates=H","DateFormat=P","Fill=—","Direction=H","UseDPDF=Y")</f>
        <v>11.8781</v>
      </c>
      <c r="L7" s="11" cm="1">
        <f t="array" ref="L7">_xll.BDH("TPX Index","EBITDA_MARGIN","CY 2016","CY 2016","Currency=USD","Period=CY","FUND_PER=Y","BEST_FPERIOD_OVERRIDE=1GY","FA_ADJUSTED=GAAP","Sort=A","Dates=H","DateFormat=P","Fill=—","Direction=H","UseDPDF=Y")</f>
        <v>11.672000000000001</v>
      </c>
      <c r="M7" s="11" cm="1">
        <f t="array" ref="M7">_xll.BDH("TPX Index","EBITDA_MARGIN","CY 2017","CY 2017","Currency=USD","Period=CY","FUND_PER=Y","BEST_FPERIOD_OVERRIDE=1GY","FA_ADJUSTED=GAAP","Sort=A","Dates=H","DateFormat=P","Fill=—","Direction=H","UseDPDF=Y")</f>
        <v>12.324400000000001</v>
      </c>
      <c r="N7" s="11" cm="1">
        <f t="array" ref="N7">_xll.BDH("TPX Index","EBITDA_MARGIN","CY 2018","CY 2018","Currency=USD","Period=CY","FUND_PER=Y","BEST_FPERIOD_OVERRIDE=1GY","FA_ADJUSTED=GAAP","Sort=A","Dates=H","DateFormat=P","Fill=—","Direction=H","UseDPDF=Y")</f>
        <v>12.3414</v>
      </c>
      <c r="O7" s="11" cm="1">
        <f t="array" ref="O7">_xll.BDH("TPX Index","EBITDA_MARGIN","CY 2019","CY 2019","Currency=USD","Period=CY","FUND_PER=Y","BEST_FPERIOD_OVERRIDE=1GY","FA_ADJUSTED=GAAP","Sort=A","Dates=H","DateFormat=P","Fill=—","Direction=H","UseDPDF=Y")</f>
        <v>11.737</v>
      </c>
      <c r="P7" s="11" cm="1">
        <f t="array" ref="P7">_xll.BDH("TPX Index","EBITDA_MARGIN","CY 2020","CY 2020","Currency=USD","Period=CY","FUND_PER=Y","BEST_FPERIOD_OVERRIDE=1GY","FA_ADJUSTED=GAAP","Sort=A","Dates=H","DateFormat=P","Fill=—","Direction=H","UseDPDF=Y")</f>
        <v>10.422700000000001</v>
      </c>
      <c r="Q7" s="11" cm="1">
        <f t="array" ref="Q7">_xll.BDH("TPX Index","EBITDA_MARGIN","CY 2021","CY 2021","Currency=USD","Period=CY","FUND_PER=Y","BEST_FPERIOD_OVERRIDE=1GY","FA_ADJUSTED=GAAP","Sort=A","Dates=H","DateFormat=P","Fill=—","Direction=H","UseDPDF=Y")</f>
        <v>12.920999999999999</v>
      </c>
      <c r="R7" s="11" cm="1">
        <f t="array" ref="R7">_xll.BDH("TPX Index","EBITDA_MARGIN","CY 2022","CY 2022","Currency=USD","Period=CY","FUND_PER=Y","BEST_FPERIOD_OVERRIDE=1GY","FA_ADJUSTED=GAAP","Sort=A","Dates=H","DateFormat=P","Fill=—","Direction=H","UseDPDF=Y")</f>
        <v>11.430300000000001</v>
      </c>
      <c r="S7" s="11" cm="1">
        <f t="array" ref="S7">_xll.BDH("TPX Index","EBITDA_MARGIN","CY 2023","CY 2023","Currency=USD","Period=CY","FUND_PER=Y","BEST_FPERIOD_OVERRIDE=1GY","FA_ADJUSTED=GAAP","Sort=A","Dates=H","DateFormat=P","Fill=—","Direction=H","UseDPDF=Y")</f>
        <v>12.3713</v>
      </c>
      <c r="T7" s="11" cm="1">
        <f t="array" ref="T7">_xll.BDH("TPX Index","EBITDA_MARGIN","CY 2024","CY 2024","Currency=USD","Period=CY","FUND_PER=Y","BEST_FPERIOD_OVERRIDE=1GY","FA_ADJUSTED=GAAP","Sort=A","Dates=H","DateFormat=P","Fill=—","Direction=H","UseDPDF=Y")</f>
        <v>13.2302</v>
      </c>
      <c r="U7" s="11"/>
      <c r="V7" s="11"/>
    </row>
    <row r="8" spans="1:22">
      <c r="A8" s="9" t="s">
        <v>46</v>
      </c>
      <c r="B8" s="9" t="s">
        <v>47</v>
      </c>
      <c r="C8" s="11" cm="1">
        <f t="array" ref="C8">_xll.BDH("TPX Index","TRAIL_12M_OPER_MARGIN","CY 2007","CY 2007","Currency=USD","Period=CY","FUND_PER=Y","BEST_FPERIOD_OVERRIDE=1GY","FA_ADJUSTED=GAAP","Sort=A","Dates=H","DateFormat=P","Fill=—","Direction=H","UseDPDF=Y")</f>
        <v>7.3708999999999998</v>
      </c>
      <c r="D8" s="11" cm="1">
        <f t="array" ref="D8">_xll.BDH("TPX Index","TRAIL_12M_OPER_MARGIN","CY 2008","CY 2008","Currency=USD","Period=CY","FUND_PER=Y","BEST_FPERIOD_OVERRIDE=1GY","FA_ADJUSTED=GAAP","Sort=A","Dates=H","DateFormat=P","Fill=—","Direction=H","UseDPDF=Y")</f>
        <v>6.0762999999999998</v>
      </c>
      <c r="E8" s="11" cm="1">
        <f t="array" ref="E8">_xll.BDH("TPX Index","TRAIL_12M_OPER_MARGIN","CY 2009","CY 2009","Currency=USD","Period=CY","FUND_PER=Y","BEST_FPERIOD_OVERRIDE=1GY","FA_ADJUSTED=GAAP","Sort=A","Dates=H","DateFormat=P","Fill=—","Direction=H","UseDPDF=Y")</f>
        <v>1.5347999999999999</v>
      </c>
      <c r="F8" s="11" cm="1">
        <f t="array" ref="F8">_xll.BDH("TPX Index","TRAIL_12M_OPER_MARGIN","CY 2010","CY 2010","Currency=USD","Period=CY","FUND_PER=Y","BEST_FPERIOD_OVERRIDE=1GY","FA_ADJUSTED=GAAP","Sort=A","Dates=H","DateFormat=P","Fill=—","Direction=H","UseDPDF=Y")</f>
        <v>6.1673</v>
      </c>
      <c r="G8" s="11" cm="1">
        <f t="array" ref="G8">_xll.BDH("TPX Index","TRAIL_12M_OPER_MARGIN","CY 2011","CY 2011","Currency=USD","Period=CY","FUND_PER=Y","BEST_FPERIOD_OVERRIDE=1GY","FA_ADJUSTED=GAAP","Sort=A","Dates=H","DateFormat=P","Fill=—","Direction=H","UseDPDF=Y")</f>
        <v>5.7225000000000001</v>
      </c>
      <c r="H8" s="11" cm="1">
        <f t="array" ref="H8">_xll.BDH("TPX Index","TRAIL_12M_OPER_MARGIN","CY 2012","CY 2012","Currency=USD","Period=CY","FUND_PER=Y","BEST_FPERIOD_OVERRIDE=1GY","FA_ADJUSTED=GAAP","Sort=A","Dates=H","DateFormat=P","Fill=—","Direction=H","UseDPDF=Y")</f>
        <v>5.2645999999999997</v>
      </c>
      <c r="I8" s="11" cm="1">
        <f t="array" ref="I8">_xll.BDH("TPX Index","TRAIL_12M_OPER_MARGIN","CY 2013","CY 2013","Currency=USD","Period=CY","FUND_PER=Y","BEST_FPERIOD_OVERRIDE=1GY","FA_ADJUSTED=GAAP","Sort=A","Dates=H","DateFormat=P","Fill=—","Direction=H","UseDPDF=Y")</f>
        <v>6.6127000000000002</v>
      </c>
      <c r="J8" s="11" cm="1">
        <f t="array" ref="J8">_xll.BDH("TPX Index","TRAIL_12M_OPER_MARGIN","CY 2014","CY 2014","Currency=USD","Period=CY","FUND_PER=Y","BEST_FPERIOD_OVERRIDE=1GY","FA_ADJUSTED=GAAP","Sort=A","Dates=H","DateFormat=P","Fill=—","Direction=H","UseDPDF=Y")</f>
        <v>6.9969999999999999</v>
      </c>
      <c r="K8" s="11" cm="1">
        <f t="array" ref="K8">_xll.BDH("TPX Index","TRAIL_12M_OPER_MARGIN","CY 2015","CY 2015","Currency=USD","Period=CY","FUND_PER=Y","BEST_FPERIOD_OVERRIDE=1GY","FA_ADJUSTED=GAAP","Sort=A","Dates=H","DateFormat=P","Fill=—","Direction=H","UseDPDF=Y")</f>
        <v>7.3665000000000003</v>
      </c>
      <c r="L8" s="11" cm="1">
        <f t="array" ref="L8">_xll.BDH("TPX Index","TRAIL_12M_OPER_MARGIN","CY 2016","CY 2016","Currency=USD","Period=CY","FUND_PER=Y","BEST_FPERIOD_OVERRIDE=1GY","FA_ADJUSTED=GAAP","Sort=A","Dates=H","DateFormat=P","Fill=—","Direction=H","UseDPDF=Y")</f>
        <v>7.1859999999999999</v>
      </c>
      <c r="M8" s="11" cm="1">
        <f t="array" ref="M8">_xll.BDH("TPX Index","TRAIL_12M_OPER_MARGIN","CY 2017","CY 2017","Currency=USD","Period=CY","FUND_PER=Y","BEST_FPERIOD_OVERRIDE=1GY","FA_ADJUSTED=GAAP","Sort=A","Dates=H","DateFormat=P","Fill=—","Direction=H","UseDPDF=Y")</f>
        <v>7.8122999999999996</v>
      </c>
      <c r="N8" s="11" cm="1">
        <f t="array" ref="N8">_xll.BDH("TPX Index","TRAIL_12M_OPER_MARGIN","CY 2018","CY 2018","Currency=USD","Period=CY","FUND_PER=Y","BEST_FPERIOD_OVERRIDE=1GY","FA_ADJUSTED=GAAP","Sort=A","Dates=H","DateFormat=P","Fill=—","Direction=H","UseDPDF=Y")</f>
        <v>7.9791999999999996</v>
      </c>
      <c r="O8" s="11" cm="1">
        <f t="array" ref="O8">_xll.BDH("TPX Index","TRAIL_12M_OPER_MARGIN","CY 2019","CY 2019","Currency=USD","Period=CY","FUND_PER=Y","BEST_FPERIOD_OVERRIDE=1GY","FA_ADJUSTED=GAAP","Sort=A","Dates=H","DateFormat=P","Fill=—","Direction=H","UseDPDF=Y")</f>
        <v>7.1403999999999996</v>
      </c>
      <c r="P8" s="11" cm="1">
        <f t="array" ref="P8">_xll.BDH("TPX Index","TRAIL_12M_OPER_MARGIN","CY 2020","CY 2020","Currency=USD","Period=CY","FUND_PER=Y","BEST_FPERIOD_OVERRIDE=1GY","FA_ADJUSTED=GAAP","Sort=A","Dates=H","DateFormat=P","Fill=—","Direction=H","UseDPDF=Y")</f>
        <v>5.3274999999999997</v>
      </c>
      <c r="Q8" s="11" cm="1">
        <f t="array" ref="Q8">_xll.BDH("TPX Index","TRAIL_12M_OPER_MARGIN","CY 2021","CY 2021","Currency=USD","Period=CY","FUND_PER=Y","BEST_FPERIOD_OVERRIDE=1GY","FA_ADJUSTED=GAAP","Sort=A","Dates=H","DateFormat=P","Fill=—","Direction=H","UseDPDF=Y")</f>
        <v>8.3120999999999992</v>
      </c>
      <c r="R8" s="11" cm="1">
        <f t="array" ref="R8">_xll.BDH("TPX Index","TRAIL_12M_OPER_MARGIN","CY 2022","CY 2022","Currency=USD","Period=CY","FUND_PER=Y","BEST_FPERIOD_OVERRIDE=1GY","FA_ADJUSTED=GAAP","Sort=A","Dates=H","DateFormat=P","Fill=—","Direction=H","UseDPDF=Y")</f>
        <v>6.7998000000000003</v>
      </c>
      <c r="S8" s="11" cm="1">
        <f t="array" ref="S8">_xll.BDH("TPX Index","TRAIL_12M_OPER_MARGIN","CY 2023","CY 2023","Currency=USD","Period=CY","FUND_PER=Y","BEST_FPERIOD_OVERRIDE=1GY","FA_ADJUSTED=GAAP","Sort=A","Dates=H","DateFormat=P","Fill=—","Direction=H","UseDPDF=Y")</f>
        <v>7.4307999999999996</v>
      </c>
      <c r="T8" s="11" cm="1">
        <f t="array" ref="T8">_xll.BDH("TPX Index","TRAIL_12M_OPER_MARGIN","CY 2024","CY 2024","Currency=USD","Period=CY","FUND_PER=Y","BEST_FPERIOD_OVERRIDE=1GY","FA_ADJUSTED=GAAP","Sort=A","Dates=H","DateFormat=P","Fill=—","Direction=H","UseDPDF=Y")</f>
        <v>8.4781999999999993</v>
      </c>
      <c r="U8" s="11"/>
      <c r="V8" s="11"/>
    </row>
    <row r="9" spans="1:22">
      <c r="A9" s="9" t="s">
        <v>48</v>
      </c>
      <c r="B9" s="9" t="s">
        <v>49</v>
      </c>
      <c r="C9" s="11" cm="1">
        <f t="array" ref="C9">_xll.BDH("TPX Index","TRAIL_12M_PROF_MARGIN","CY 2007","CY 2007","Currency=USD","Period=CY","FUND_PER=Y","BEST_FPERIOD_OVERRIDE=1GY","FA_ADJUSTED=GAAP","Sort=A","Dates=H","DateFormat=P","Fill=—","Direction=H","UseDPDF=Y")</f>
        <v>3.6945000000000001</v>
      </c>
      <c r="D9" s="11" cm="1">
        <f t="array" ref="D9">_xll.BDH("TPX Index","TRAIL_12M_PROF_MARGIN","CY 2008","CY 2008","Currency=USD","Period=CY","FUND_PER=Y","BEST_FPERIOD_OVERRIDE=1GY","FA_ADJUSTED=GAAP","Sort=A","Dates=H","DateFormat=P","Fill=—","Direction=H","UseDPDF=Y")</f>
        <v>3.0362</v>
      </c>
      <c r="E9" s="11" cm="1">
        <f t="array" ref="E9">_xll.BDH("TPX Index","TRAIL_12M_PROF_MARGIN","CY 2009","CY 2009","Currency=USD","Period=CY","FUND_PER=Y","BEST_FPERIOD_OVERRIDE=1GY","FA_ADJUSTED=GAAP","Sort=A","Dates=H","DateFormat=P","Fill=—","Direction=H","UseDPDF=Y")</f>
        <v>-1.6043000000000001</v>
      </c>
      <c r="F9" s="11" cm="1">
        <f t="array" ref="F9">_xll.BDH("TPX Index","TRAIL_12M_PROF_MARGIN","CY 2010","CY 2010","Currency=USD","Period=CY","FUND_PER=Y","BEST_FPERIOD_OVERRIDE=1GY","FA_ADJUSTED=GAAP","Sort=A","Dates=H","DateFormat=P","Fill=—","Direction=H","UseDPDF=Y")</f>
        <v>2.8786999999999998</v>
      </c>
      <c r="G9" s="11" cm="1">
        <f t="array" ref="G9">_xll.BDH("TPX Index","TRAIL_12M_PROF_MARGIN","CY 2011","CY 2011","Currency=USD","Period=CY","FUND_PER=Y","BEST_FPERIOD_OVERRIDE=1GY","FA_ADJUSTED=GAAP","Sort=A","Dates=H","DateFormat=P","Fill=—","Direction=H","UseDPDF=Y")</f>
        <v>2.2012999999999998</v>
      </c>
      <c r="H9" s="11" cm="1">
        <f t="array" ref="H9">_xll.BDH("TPX Index","TRAIL_12M_PROF_MARGIN","CY 2012","CY 2012","Currency=USD","Period=CY","FUND_PER=Y","BEST_FPERIOD_OVERRIDE=1GY","FA_ADJUSTED=GAAP","Sort=A","Dates=H","DateFormat=P","Fill=—","Direction=H","UseDPDF=Y")</f>
        <v>1.7816000000000001</v>
      </c>
      <c r="I9" s="11" cm="1">
        <f t="array" ref="I9">_xll.BDH("TPX Index","TRAIL_12M_PROF_MARGIN","CY 2013","CY 2013","Currency=USD","Period=CY","FUND_PER=Y","BEST_FPERIOD_OVERRIDE=1GY","FA_ADJUSTED=GAAP","Sort=A","Dates=H","DateFormat=P","Fill=—","Direction=H","UseDPDF=Y")</f>
        <v>3.8207</v>
      </c>
      <c r="J9" s="11" cm="1">
        <f t="array" ref="J9">_xll.BDH("TPX Index","TRAIL_12M_PROF_MARGIN","CY 2014","CY 2014","Currency=USD","Period=CY","FUND_PER=Y","BEST_FPERIOD_OVERRIDE=1GY","FA_ADJUSTED=GAAP","Sort=A","Dates=H","DateFormat=P","Fill=—","Direction=H","UseDPDF=Y")</f>
        <v>4.2004999999999999</v>
      </c>
      <c r="K9" s="11" cm="1">
        <f t="array" ref="K9">_xll.BDH("TPX Index","TRAIL_12M_PROF_MARGIN","CY 2015","CY 2015","Currency=USD","Period=CY","FUND_PER=Y","BEST_FPERIOD_OVERRIDE=1GY","FA_ADJUSTED=GAAP","Sort=A","Dates=H","DateFormat=P","Fill=—","Direction=H","UseDPDF=Y")</f>
        <v>4.5499000000000001</v>
      </c>
      <c r="L9" s="11" cm="1">
        <f t="array" ref="L9">_xll.BDH("TPX Index","TRAIL_12M_PROF_MARGIN","CY 2016","CY 2016","Currency=USD","Period=CY","FUND_PER=Y","BEST_FPERIOD_OVERRIDE=1GY","FA_ADJUSTED=GAAP","Sort=A","Dates=H","DateFormat=P","Fill=—","Direction=H","UseDPDF=Y")</f>
        <v>4.0983999999999998</v>
      </c>
      <c r="M9" s="11" cm="1">
        <f t="array" ref="M9">_xll.BDH("TPX Index","TRAIL_12M_PROF_MARGIN","CY 2017","CY 2017","Currency=USD","Period=CY","FUND_PER=Y","BEST_FPERIOD_OVERRIDE=1GY","FA_ADJUSTED=GAAP","Sort=A","Dates=H","DateFormat=P","Fill=—","Direction=H","UseDPDF=Y")</f>
        <v>5.4569999999999999</v>
      </c>
      <c r="N9" s="11" cm="1">
        <f t="array" ref="N9">_xll.BDH("TPX Index","TRAIL_12M_PROF_MARGIN","CY 2018","CY 2018","Currency=USD","Period=CY","FUND_PER=Y","BEST_FPERIOD_OVERRIDE=1GY","FA_ADJUSTED=GAAP","Sort=A","Dates=H","DateFormat=P","Fill=—","Direction=H","UseDPDF=Y")</f>
        <v>5.9385000000000003</v>
      </c>
      <c r="O9" s="11" cm="1">
        <f t="array" ref="O9">_xll.BDH("TPX Index","TRAIL_12M_PROF_MARGIN","CY 2019","CY 2019","Currency=USD","Period=CY","FUND_PER=Y","BEST_FPERIOD_OVERRIDE=1GY","FA_ADJUSTED=GAAP","Sort=A","Dates=H","DateFormat=P","Fill=—","Direction=H","UseDPDF=Y")</f>
        <v>5.08</v>
      </c>
      <c r="P9" s="11" cm="1">
        <f t="array" ref="P9">_xll.BDH("TPX Index","TRAIL_12M_PROF_MARGIN","CY 2020","CY 2020","Currency=USD","Period=CY","FUND_PER=Y","BEST_FPERIOD_OVERRIDE=1GY","FA_ADJUSTED=GAAP","Sort=A","Dates=H","DateFormat=P","Fill=—","Direction=H","UseDPDF=Y")</f>
        <v>3.0091000000000001</v>
      </c>
      <c r="Q9" s="11" cm="1">
        <f t="array" ref="Q9">_xll.BDH("TPX Index","TRAIL_12M_PROF_MARGIN","CY 2021","CY 2021","Currency=USD","Period=CY","FUND_PER=Y","BEST_FPERIOD_OVERRIDE=1GY","FA_ADJUSTED=GAAP","Sort=A","Dates=H","DateFormat=P","Fill=—","Direction=H","UseDPDF=Y")</f>
        <v>6.2702999999999998</v>
      </c>
      <c r="R9" s="11" cm="1">
        <f t="array" ref="R9">_xll.BDH("TPX Index","TRAIL_12M_PROF_MARGIN","CY 2022","CY 2022","Currency=USD","Period=CY","FUND_PER=Y","BEST_FPERIOD_OVERRIDE=1GY","FA_ADJUSTED=GAAP","Sort=A","Dates=H","DateFormat=P","Fill=—","Direction=H","UseDPDF=Y")</f>
        <v>5.7827000000000002</v>
      </c>
      <c r="S9" s="11" cm="1">
        <f t="array" ref="S9">_xll.BDH("TPX Index","TRAIL_12M_PROF_MARGIN","CY 2023","CY 2023","Currency=USD","Period=CY","FUND_PER=Y","BEST_FPERIOD_OVERRIDE=1GY","FA_ADJUSTED=GAAP","Sort=A","Dates=H","DateFormat=P","Fill=—","Direction=H","UseDPDF=Y")</f>
        <v>5.7488999999999999</v>
      </c>
      <c r="T9" s="11" cm="1">
        <f t="array" ref="T9">_xll.BDH("TPX Index","TRAIL_12M_PROF_MARGIN","CY 2024","CY 2024","Currency=USD","Period=CY","FUND_PER=Y","BEST_FPERIOD_OVERRIDE=1GY","FA_ADJUSTED=GAAP","Sort=A","Dates=H","DateFormat=P","Fill=—","Direction=H","UseDPDF=Y")</f>
        <v>6.4859999999999998</v>
      </c>
      <c r="U9" s="11">
        <v>6.9217284484112103</v>
      </c>
      <c r="V9" s="11">
        <v>7.2283737720934296</v>
      </c>
    </row>
    <row r="10" spans="1:22">
      <c r="A10" s="9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</row>
    <row r="11" spans="1:22">
      <c r="A11" s="9" t="s">
        <v>50</v>
      </c>
      <c r="B11" s="9" t="s">
        <v>51</v>
      </c>
      <c r="C11" s="11" cm="1">
        <f t="array" ref="C11">_xll.BDH("TPX Index","RETURN_ON_ASSET","CY 2007","CY 2007","Currency=USD","Period=CY","FUND_PER=Y","BEST_FPERIOD_OVERRIDE=1GY","FA_ADJUSTED=GAAP","Sort=A","Dates=H","DateFormat=P","Fill=—","Direction=H","UseDPDF=Y")</f>
        <v>1.4496</v>
      </c>
      <c r="D11" s="11" cm="1">
        <f t="array" ref="D11">_xll.BDH("TPX Index","RETURN_ON_ASSET","CY 2008","CY 2008","Currency=USD","Period=CY","FUND_PER=Y","BEST_FPERIOD_OVERRIDE=1GY","FA_ADJUSTED=GAAP","Sort=A","Dates=H","DateFormat=P","Fill=—","Direction=H","UseDPDF=Y")</f>
        <v>1.1641999999999999</v>
      </c>
      <c r="E11" s="11" cm="1">
        <f t="array" ref="E11">_xll.BDH("TPX Index","RETURN_ON_ASSET","CY 2009","CY 2009","Currency=USD","Period=CY","FUND_PER=Y","BEST_FPERIOD_OVERRIDE=1GY","FA_ADJUSTED=GAAP","Sort=A","Dates=H","DateFormat=P","Fill=—","Direction=H","UseDPDF=Y")</f>
        <v>-0.54910000000000003</v>
      </c>
      <c r="F11" s="11" cm="1">
        <f t="array" ref="F11">_xll.BDH("TPX Index","RETURN_ON_ASSET","CY 2010","CY 2010","Currency=USD","Period=CY","FUND_PER=Y","BEST_FPERIOD_OVERRIDE=1GY","FA_ADJUSTED=GAAP","Sort=A","Dates=H","DateFormat=P","Fill=—","Direction=H","UseDPDF=Y")</f>
        <v>0.9506</v>
      </c>
      <c r="G11" s="11" cm="1">
        <f t="array" ref="G11">_xll.BDH("TPX Index","RETURN_ON_ASSET","CY 2011","CY 2011","Currency=USD","Period=CY","FUND_PER=Y","BEST_FPERIOD_OVERRIDE=1GY","FA_ADJUSTED=GAAP","Sort=A","Dates=H","DateFormat=P","Fill=—","Direction=H","UseDPDF=Y")</f>
        <v>0.69879999999999998</v>
      </c>
      <c r="H11" s="11" cm="1">
        <f t="array" ref="H11">_xll.BDH("TPX Index","RETURN_ON_ASSET","CY 2012","CY 2012","Currency=USD","Period=CY","FUND_PER=Y","BEST_FPERIOD_OVERRIDE=1GY","FA_ADJUSTED=GAAP","Sort=A","Dates=H","DateFormat=P","Fill=—","Direction=H","UseDPDF=Y")</f>
        <v>0.57769999999999999</v>
      </c>
      <c r="I11" s="11" cm="1">
        <f t="array" ref="I11">_xll.BDH("TPX Index","RETURN_ON_ASSET","CY 2013","CY 2013","Currency=USD","Period=CY","FUND_PER=Y","BEST_FPERIOD_OVERRIDE=1GY","FA_ADJUSTED=GAAP","Sort=A","Dates=H","DateFormat=P","Fill=—","Direction=H","UseDPDF=Y")</f>
        <v>1.1936</v>
      </c>
      <c r="J11" s="11" cm="1">
        <f t="array" ref="J11">_xll.BDH("TPX Index","RETURN_ON_ASSET","CY 2014","CY 2014","Currency=USD","Period=CY","FUND_PER=Y","BEST_FPERIOD_OVERRIDE=1GY","FA_ADJUSTED=GAAP","Sort=A","Dates=H","DateFormat=P","Fill=—","Direction=H","UseDPDF=Y")</f>
        <v>1.2984</v>
      </c>
      <c r="K11" s="11" cm="1">
        <f t="array" ref="K11">_xll.BDH("TPX Index","RETURN_ON_ASSET","CY 2015","CY 2015","Currency=USD","Period=CY","FUND_PER=Y","BEST_FPERIOD_OVERRIDE=1GY","FA_ADJUSTED=GAAP","Sort=A","Dates=H","DateFormat=P","Fill=—","Direction=H","UseDPDF=Y")</f>
        <v>1.3050999999999999</v>
      </c>
      <c r="L11" s="11" cm="1">
        <f t="array" ref="L11">_xll.BDH("TPX Index","RETURN_ON_ASSET","CY 2016","CY 2016","Currency=USD","Period=CY","FUND_PER=Y","BEST_FPERIOD_OVERRIDE=1GY","FA_ADJUSTED=GAAP","Sort=A","Dates=H","DateFormat=P","Fill=—","Direction=H","UseDPDF=Y")</f>
        <v>1.0855999999999999</v>
      </c>
      <c r="M11" s="11" cm="1">
        <f t="array" ref="M11">_xll.BDH("TPX Index","RETURN_ON_ASSET","CY 2017","CY 2017","Currency=USD","Period=CY","FUND_PER=Y","BEST_FPERIOD_OVERRIDE=1GY","FA_ADJUSTED=GAAP","Sort=A","Dates=H","DateFormat=P","Fill=—","Direction=H","UseDPDF=Y")</f>
        <v>1.3629</v>
      </c>
      <c r="N11" s="11" cm="1">
        <f t="array" ref="N11">_xll.BDH("TPX Index","RETURN_ON_ASSET","CY 2018","CY 2018","Currency=USD","Period=CY","FUND_PER=Y","BEST_FPERIOD_OVERRIDE=1GY","FA_ADJUSTED=GAAP","Sort=A","Dates=H","DateFormat=P","Fill=—","Direction=H","UseDPDF=Y")</f>
        <v>1.5443</v>
      </c>
      <c r="O11" s="11" cm="1">
        <f t="array" ref="O11">_xll.BDH("TPX Index","RETURN_ON_ASSET","CY 2019","CY 2019","Currency=USD","Period=CY","FUND_PER=Y","BEST_FPERIOD_OVERRIDE=1GY","FA_ADJUSTED=GAAP","Sort=A","Dates=H","DateFormat=P","Fill=—","Direction=H","UseDPDF=Y")</f>
        <v>1.278</v>
      </c>
      <c r="P11" s="11" cm="1">
        <f t="array" ref="P11">_xll.BDH("TPX Index","RETURN_ON_ASSET","CY 2020","CY 2020","Currency=USD","Period=CY","FUND_PER=Y","BEST_FPERIOD_OVERRIDE=1GY","FA_ADJUSTED=GAAP","Sort=A","Dates=H","DateFormat=P","Fill=—","Direction=H","UseDPDF=Y")</f>
        <v>0.63419999999999999</v>
      </c>
      <c r="Q11" s="11" cm="1">
        <f t="array" ref="Q11">_xll.BDH("TPX Index","RETURN_ON_ASSET","CY 2021","CY 2021","Currency=USD","Period=CY","FUND_PER=Y","BEST_FPERIOD_OVERRIDE=1GY","FA_ADJUSTED=GAAP","Sort=A","Dates=H","DateFormat=P","Fill=—","Direction=H","UseDPDF=Y")</f>
        <v>1.3544</v>
      </c>
      <c r="R11" s="11" cm="1">
        <f t="array" ref="R11">_xll.BDH("TPX Index","RETURN_ON_ASSET","CY 2022","CY 2022","Currency=USD","Period=CY","FUND_PER=Y","BEST_FPERIOD_OVERRIDE=1GY","FA_ADJUSTED=GAAP","Sort=A","Dates=H","DateFormat=P","Fill=—","Direction=H","UseDPDF=Y")</f>
        <v>1.3096000000000001</v>
      </c>
      <c r="S11" s="11" cm="1">
        <f t="array" ref="S11">_xll.BDH("TPX Index","RETURN_ON_ASSET","CY 2023","CY 2023","Currency=USD","Period=CY","FUND_PER=Y","BEST_FPERIOD_OVERRIDE=1GY","FA_ADJUSTED=GAAP","Sort=A","Dates=H","DateFormat=P","Fill=—","Direction=H","UseDPDF=Y")</f>
        <v>1.2986</v>
      </c>
      <c r="T11" s="11" cm="1">
        <f t="array" ref="T11">_xll.BDH("TPX Index","RETURN_ON_ASSET","CY 2024","CY 2024","Currency=USD","Period=CY","FUND_PER=Y","BEST_FPERIOD_OVERRIDE=1GY","FA_ADJUSTED=GAAP","Sort=A","Dates=H","DateFormat=P","Fill=—","Direction=H","UseDPDF=Y")</f>
        <v>1.4825999999999999</v>
      </c>
      <c r="U11" s="11">
        <v>1.46660393521195</v>
      </c>
      <c r="V11" s="11">
        <v>1.6273263151790101</v>
      </c>
    </row>
    <row r="12" spans="1:22">
      <c r="A12" s="9" t="s">
        <v>52</v>
      </c>
      <c r="B12" s="9" t="s">
        <v>53</v>
      </c>
      <c r="C12" s="11" cm="1">
        <f t="array" ref="C12">_xll.BDH("TPX Index","RETURN_COM_EQY","CY 2007","CY 2007","Currency=USD","Period=CY","FUND_PER=Y","BEST_FPERIOD_OVERRIDE=1GY","FA_ADJUSTED=GAAP","Sort=A","Dates=H","DateFormat=P","Fill=—","Direction=H","UseDPDF=Y")</f>
        <v>8.6061999999999994</v>
      </c>
      <c r="D12" s="11" cm="1">
        <f t="array" ref="D12">_xll.BDH("TPX Index","RETURN_COM_EQY","CY 2008","CY 2008","Currency=USD","Period=CY","FUND_PER=Y","BEST_FPERIOD_OVERRIDE=1GY","FA_ADJUSTED=GAAP","Sort=A","Dates=H","DateFormat=P","Fill=—","Direction=H","UseDPDF=Y")</f>
        <v>7.3428000000000004</v>
      </c>
      <c r="E12" s="11" cm="1">
        <f t="array" ref="E12">_xll.BDH("TPX Index","RETURN_COM_EQY","CY 2009","CY 2009","Currency=USD","Period=CY","FUND_PER=Y","BEST_FPERIOD_OVERRIDE=1GY","FA_ADJUSTED=GAAP","Sort=A","Dates=H","DateFormat=P","Fill=—","Direction=H","UseDPDF=Y")</f>
        <v>-3.6743999999999999</v>
      </c>
      <c r="F12" s="11" cm="1">
        <f t="array" ref="F12">_xll.BDH("TPX Index","RETURN_COM_EQY","CY 2010","CY 2010","Currency=USD","Period=CY","FUND_PER=Y","BEST_FPERIOD_OVERRIDE=1GY","FA_ADJUSTED=GAAP","Sort=A","Dates=H","DateFormat=P","Fill=—","Direction=H","UseDPDF=Y")</f>
        <v>6.4105999999999996</v>
      </c>
      <c r="G12" s="11" cm="1">
        <f t="array" ref="G12">_xll.BDH("TPX Index","RETURN_COM_EQY","CY 2011","CY 2011","Currency=USD","Period=CY","FUND_PER=Y","BEST_FPERIOD_OVERRIDE=1GY","FA_ADJUSTED=GAAP","Sort=A","Dates=H","DateFormat=P","Fill=—","Direction=H","UseDPDF=Y")</f>
        <v>4.8289</v>
      </c>
      <c r="H12" s="11" cm="1">
        <f t="array" ref="H12">_xll.BDH("TPX Index","RETURN_COM_EQY","CY 2012","CY 2012","Currency=USD","Period=CY","FUND_PER=Y","BEST_FPERIOD_OVERRIDE=1GY","FA_ADJUSTED=GAAP","Sort=A","Dates=H","DateFormat=P","Fill=—","Direction=H","UseDPDF=Y")</f>
        <v>3.9702999999999999</v>
      </c>
      <c r="I12" s="11" cm="1">
        <f t="array" ref="I12">_xll.BDH("TPX Index","RETURN_COM_EQY","CY 2013","CY 2013","Currency=USD","Period=CY","FUND_PER=Y","BEST_FPERIOD_OVERRIDE=1GY","FA_ADJUSTED=GAAP","Sort=A","Dates=H","DateFormat=P","Fill=—","Direction=H","UseDPDF=Y")</f>
        <v>7.5772000000000004</v>
      </c>
      <c r="J12" s="11" cm="1">
        <f t="array" ref="J12">_xll.BDH("TPX Index","RETURN_COM_EQY","CY 2014","CY 2014","Currency=USD","Period=CY","FUND_PER=Y","BEST_FPERIOD_OVERRIDE=1GY","FA_ADJUSTED=GAAP","Sort=A","Dates=H","DateFormat=P","Fill=—","Direction=H","UseDPDF=Y")</f>
        <v>7.9433999999999996</v>
      </c>
      <c r="K12" s="11" cm="1">
        <f t="array" ref="K12">_xll.BDH("TPX Index","RETURN_COM_EQY","CY 2015","CY 2015","Currency=USD","Period=CY","FUND_PER=Y","BEST_FPERIOD_OVERRIDE=1GY","FA_ADJUSTED=GAAP","Sort=A","Dates=H","DateFormat=P","Fill=—","Direction=H","UseDPDF=Y")</f>
        <v>8.0136000000000003</v>
      </c>
      <c r="L12" s="11" cm="1">
        <f t="array" ref="L12">_xll.BDH("TPX Index","RETURN_COM_EQY","CY 2016","CY 2016","Currency=USD","Period=CY","FUND_PER=Y","BEST_FPERIOD_OVERRIDE=1GY","FA_ADJUSTED=GAAP","Sort=A","Dates=H","DateFormat=P","Fill=—","Direction=H","UseDPDF=Y")</f>
        <v>7.1467000000000001</v>
      </c>
      <c r="M12" s="11" cm="1">
        <f t="array" ref="M12">_xll.BDH("TPX Index","RETURN_COM_EQY","CY 2017","CY 2017","Currency=USD","Period=CY","FUND_PER=Y","BEST_FPERIOD_OVERRIDE=1GY","FA_ADJUSTED=GAAP","Sort=A","Dates=H","DateFormat=P","Fill=—","Direction=H","UseDPDF=Y")</f>
        <v>8.5969999999999995</v>
      </c>
      <c r="N12" s="11" cm="1">
        <f t="array" ref="N12">_xll.BDH("TPX Index","RETURN_COM_EQY","CY 2018","CY 2018","Currency=USD","Period=CY","FUND_PER=Y","BEST_FPERIOD_OVERRIDE=1GY","FA_ADJUSTED=GAAP","Sort=A","Dates=H","DateFormat=P","Fill=—","Direction=H","UseDPDF=Y")</f>
        <v>9.3508999999999993</v>
      </c>
      <c r="O12" s="11" cm="1">
        <f t="array" ref="O12">_xll.BDH("TPX Index","RETURN_COM_EQY","CY 2019","CY 2019","Currency=USD","Period=CY","FUND_PER=Y","BEST_FPERIOD_OVERRIDE=1GY","FA_ADJUSTED=GAAP","Sort=A","Dates=H","DateFormat=P","Fill=—","Direction=H","UseDPDF=Y")</f>
        <v>7.9081999999999999</v>
      </c>
      <c r="P12" s="11" cm="1">
        <f t="array" ref="P12">_xll.BDH("TPX Index","RETURN_COM_EQY","CY 2020","CY 2020","Currency=USD","Period=CY","FUND_PER=Y","BEST_FPERIOD_OVERRIDE=1GY","FA_ADJUSTED=GAAP","Sort=A","Dates=H","DateFormat=P","Fill=—","Direction=H","UseDPDF=Y")</f>
        <v>4.1951000000000001</v>
      </c>
      <c r="Q12" s="11" cm="1">
        <f t="array" ref="Q12">_xll.BDH("TPX Index","RETURN_COM_EQY","CY 2021","CY 2021","Currency=USD","Period=CY","FUND_PER=Y","BEST_FPERIOD_OVERRIDE=1GY","FA_ADJUSTED=GAAP","Sort=A","Dates=H","DateFormat=P","Fill=—","Direction=H","UseDPDF=Y")</f>
        <v>8.7073999999999998</v>
      </c>
      <c r="R12" s="11" cm="1">
        <f t="array" ref="R12">_xll.BDH("TPX Index","RETURN_COM_EQY","CY 2022","CY 2022","Currency=USD","Period=CY","FUND_PER=Y","BEST_FPERIOD_OVERRIDE=1GY","FA_ADJUSTED=GAAP","Sort=A","Dates=H","DateFormat=P","Fill=—","Direction=H","UseDPDF=Y")</f>
        <v>8.3557000000000006</v>
      </c>
      <c r="S12" s="11" cm="1">
        <f t="array" ref="S12">_xll.BDH("TPX Index","RETURN_COM_EQY","CY 2023","CY 2023","Currency=USD","Period=CY","FUND_PER=Y","BEST_FPERIOD_OVERRIDE=1GY","FA_ADJUSTED=GAAP","Sort=A","Dates=H","DateFormat=P","Fill=—","Direction=H","UseDPDF=Y")</f>
        <v>8.1905000000000001</v>
      </c>
      <c r="T12" s="11" cm="1">
        <f t="array" ref="T12">_xll.BDH("TPX Index","RETURN_COM_EQY","CY 2024","CY 2024","Currency=USD","Period=CY","FUND_PER=Y","BEST_FPERIOD_OVERRIDE=1GY","FA_ADJUSTED=GAAP","Sort=A","Dates=H","DateFormat=P","Fill=—","Direction=H","UseDPDF=Y")</f>
        <v>9.0944000000000003</v>
      </c>
      <c r="U12" s="11">
        <v>8.8859660687936195</v>
      </c>
      <c r="V12" s="11">
        <v>9.4428923590044906</v>
      </c>
    </row>
    <row r="13" spans="1:22">
      <c r="A13" s="9" t="s">
        <v>54</v>
      </c>
      <c r="B13" s="9" t="s">
        <v>55</v>
      </c>
      <c r="C13" s="11" cm="1">
        <f t="array" ref="C13">_xll.BDH("TPX Index","RETURN_ON_CAP","CY 2007","CY 2007","Currency=USD","Period=CY","FUND_PER=Y","BEST_FPERIOD_OVERRIDE=1GY","FA_ADJUSTED=GAAP","Sort=A","Dates=H","DateFormat=P","Fill=—","Direction=H","UseDPDF=Y")</f>
        <v>3.3178999999999998</v>
      </c>
      <c r="D13" s="11" cm="1">
        <f t="array" ref="D13">_xll.BDH("TPX Index","RETURN_ON_CAP","CY 2008","CY 2008","Currency=USD","Period=CY","FUND_PER=Y","BEST_FPERIOD_OVERRIDE=1GY","FA_ADJUSTED=GAAP","Sort=A","Dates=H","DateFormat=P","Fill=—","Direction=H","UseDPDF=Y")</f>
        <v>2.8391000000000002</v>
      </c>
      <c r="E13" s="11" cm="1">
        <f t="array" ref="E13">_xll.BDH("TPX Index","RETURN_ON_CAP","CY 2009","CY 2009","Currency=USD","Period=CY","FUND_PER=Y","BEST_FPERIOD_OVERRIDE=1GY","FA_ADJUSTED=GAAP","Sort=A","Dates=H","DateFormat=P","Fill=—","Direction=H","UseDPDF=Y")</f>
        <v>-1.2878000000000001</v>
      </c>
      <c r="F13" s="11" cm="1">
        <f t="array" ref="F13">_xll.BDH("TPX Index","RETURN_ON_CAP","CY 2010","CY 2010","Currency=USD","Period=CY","FUND_PER=Y","BEST_FPERIOD_OVERRIDE=1GY","FA_ADJUSTED=GAAP","Sort=A","Dates=H","DateFormat=P","Fill=—","Direction=H","UseDPDF=Y")</f>
        <v>2.2667000000000002</v>
      </c>
      <c r="G13" s="11" cm="1">
        <f t="array" ref="G13">_xll.BDH("TPX Index","RETURN_ON_CAP","CY 2011","CY 2011","Currency=USD","Period=CY","FUND_PER=Y","BEST_FPERIOD_OVERRIDE=1GY","FA_ADJUSTED=GAAP","Sort=A","Dates=H","DateFormat=P","Fill=—","Direction=H","UseDPDF=Y")</f>
        <v>1.6922999999999999</v>
      </c>
      <c r="H13" s="11" cm="1">
        <f t="array" ref="H13">_xll.BDH("TPX Index","RETURN_ON_CAP","CY 2012","CY 2012","Currency=USD","Period=CY","FUND_PER=Y","BEST_FPERIOD_OVERRIDE=1GY","FA_ADJUSTED=GAAP","Sort=A","Dates=H","DateFormat=P","Fill=—","Direction=H","UseDPDF=Y")</f>
        <v>1.4033</v>
      </c>
      <c r="I13" s="11" cm="1">
        <f t="array" ref="I13">_xll.BDH("TPX Index","RETURN_ON_CAP","CY 2013","CY 2013","Currency=USD","Period=CY","FUND_PER=Y","BEST_FPERIOD_OVERRIDE=1GY","FA_ADJUSTED=GAAP","Sort=A","Dates=H","DateFormat=P","Fill=—","Direction=H","UseDPDF=Y")</f>
        <v>2.8626</v>
      </c>
      <c r="J13" s="11" cm="1">
        <f t="array" ref="J13">_xll.BDH("TPX Index","RETURN_ON_CAP","CY 2014","CY 2014","Currency=USD","Period=CY","FUND_PER=Y","BEST_FPERIOD_OVERRIDE=1GY","FA_ADJUSTED=GAAP","Sort=A","Dates=H","DateFormat=P","Fill=—","Direction=H","UseDPDF=Y")</f>
        <v>3.0604</v>
      </c>
      <c r="K13" s="11" cm="1">
        <f t="array" ref="K13">_xll.BDH("TPX Index","RETURN_ON_CAP","CY 2015","CY 2015","Currency=USD","Period=CY","FUND_PER=Y","BEST_FPERIOD_OVERRIDE=1GY","FA_ADJUSTED=GAAP","Sort=A","Dates=H","DateFormat=P","Fill=—","Direction=H","UseDPDF=Y")</f>
        <v>3.1358999999999999</v>
      </c>
      <c r="L13" s="11" cm="1">
        <f t="array" ref="L13">_xll.BDH("TPX Index","RETURN_ON_CAP","CY 2016","CY 2016","Currency=USD","Period=CY","FUND_PER=Y","BEST_FPERIOD_OVERRIDE=1GY","FA_ADJUSTED=GAAP","Sort=A","Dates=H","DateFormat=P","Fill=—","Direction=H","UseDPDF=Y")</f>
        <v>2.8148</v>
      </c>
      <c r="M13" s="11" cm="1">
        <f t="array" ref="M13">_xll.BDH("TPX Index","RETURN_ON_CAP","CY 2017","CY 2017","Currency=USD","Period=CY","FUND_PER=Y","BEST_FPERIOD_OVERRIDE=1GY","FA_ADJUSTED=GAAP","Sort=A","Dates=H","DateFormat=P","Fill=—","Direction=H","UseDPDF=Y")</f>
        <v>3.5537000000000001</v>
      </c>
      <c r="N13" s="11" cm="1">
        <f t="array" ref="N13">_xll.BDH("TPX Index","RETURN_ON_CAP","CY 2018","CY 2018","Currency=USD","Period=CY","FUND_PER=Y","BEST_FPERIOD_OVERRIDE=1GY","FA_ADJUSTED=GAAP","Sort=A","Dates=H","DateFormat=P","Fill=—","Direction=H","UseDPDF=Y")</f>
        <v>3.9581</v>
      </c>
      <c r="O13" s="11" cm="1">
        <f t="array" ref="O13">_xll.BDH("TPX Index","RETURN_ON_CAP","CY 2019","CY 2019","Currency=USD","Period=CY","FUND_PER=Y","BEST_FPERIOD_OVERRIDE=1GY","FA_ADJUSTED=GAAP","Sort=A","Dates=H","DateFormat=P","Fill=—","Direction=H","UseDPDF=Y")</f>
        <v>3.3008000000000002</v>
      </c>
      <c r="P13" s="11" cm="1">
        <f t="array" ref="P13">_xll.BDH("TPX Index","RETURN_ON_CAP","CY 2020","CY 2020","Currency=USD","Period=CY","FUND_PER=Y","BEST_FPERIOD_OVERRIDE=1GY","FA_ADJUSTED=GAAP","Sort=A","Dates=H","DateFormat=P","Fill=—","Direction=H","UseDPDF=Y")</f>
        <v>1.6246</v>
      </c>
      <c r="Q13" s="11" cm="1">
        <f t="array" ref="Q13">_xll.BDH("TPX Index","RETURN_ON_CAP","CY 2021","CY 2021","Currency=USD","Period=CY","FUND_PER=Y","BEST_FPERIOD_OVERRIDE=1GY","FA_ADJUSTED=GAAP","Sort=A","Dates=H","DateFormat=P","Fill=—","Direction=H","UseDPDF=Y")</f>
        <v>3.4302000000000001</v>
      </c>
      <c r="R13" s="11" cm="1">
        <f t="array" ref="R13">_xll.BDH("TPX Index","RETURN_ON_CAP","CY 2022","CY 2022","Currency=USD","Period=CY","FUND_PER=Y","BEST_FPERIOD_OVERRIDE=1GY","FA_ADJUSTED=GAAP","Sort=A","Dates=H","DateFormat=P","Fill=—","Direction=H","UseDPDF=Y")</f>
        <v>3.4146999999999998</v>
      </c>
      <c r="S13" s="11" cm="1">
        <f t="array" ref="S13">_xll.BDH("TPX Index","RETURN_ON_CAP","CY 2023","CY 2023","Currency=USD","Period=CY","FUND_PER=Y","BEST_FPERIOD_OVERRIDE=1GY","FA_ADJUSTED=GAAP","Sort=A","Dates=H","DateFormat=P","Fill=—","Direction=H","UseDPDF=Y")</f>
        <v>3.3029999999999999</v>
      </c>
      <c r="T13" s="11" cm="1">
        <f t="array" ref="T13">_xll.BDH("TPX Index","RETURN_ON_CAP","CY 2024","CY 2024","Currency=USD","Period=CY","FUND_PER=Y","BEST_FPERIOD_OVERRIDE=1GY","FA_ADJUSTED=GAAP","Sort=A","Dates=H","DateFormat=P","Fill=—","Direction=H","UseDPDF=Y")</f>
        <v>3.7170999999999998</v>
      </c>
      <c r="U13" s="11"/>
      <c r="V13" s="11"/>
    </row>
    <row r="14" spans="1:22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</row>
    <row r="15" spans="1:22">
      <c r="A15" s="9" t="s">
        <v>56</v>
      </c>
      <c r="B15" s="9" t="s">
        <v>57</v>
      </c>
      <c r="C15" s="11" cm="1">
        <f t="array" ref="C15">_xll.BDH("TPX Index","DVD_PAYOUT_RATIO","CY 2007","CY 2007","Currency=USD","Period=CY","FUND_PER=Y","BEST_FPERIOD_OVERRIDE=1GY","FA_ADJUSTED=GAAP","Sort=A","Dates=H","DateFormat=P","Fill=—","Direction=H","UseDPDF=Y")</f>
        <v>27.313099999999999</v>
      </c>
      <c r="D15" s="11" cm="1">
        <f t="array" ref="D15">_xll.BDH("TPX Index","DVD_PAYOUT_RATIO","CY 2008","CY 2008","Currency=USD","Period=CY","FUND_PER=Y","BEST_FPERIOD_OVERRIDE=1GY","FA_ADJUSTED=GAAP","Sort=A","Dates=H","DateFormat=P","Fill=—","Direction=H","UseDPDF=Y")</f>
        <v>36.060600000000001</v>
      </c>
      <c r="E15" s="11" cm="1">
        <f t="array" ref="E15">_xll.BDH("TPX Index","DVD_PAYOUT_RATIO","CY 2009","CY 2009","Currency=USD","Period=CY","FUND_PER=Y","BEST_FPERIOD_OVERRIDE=1GY","FA_ADJUSTED=GAAP","Sort=A","Dates=H","DateFormat=P","Fill=—","Direction=H","UseDPDF=Y")</f>
        <v>36.069400000000002</v>
      </c>
      <c r="F15" s="11" cm="1">
        <f t="array" ref="F15">_xll.BDH("TPX Index","DVD_PAYOUT_RATIO","CY 2010","CY 2010","Currency=USD","Period=CY","FUND_PER=Y","BEST_FPERIOD_OVERRIDE=1GY","FA_ADJUSTED=GAAP","Sort=A","Dates=H","DateFormat=P","Fill=—","Direction=H","UseDPDF=Y")</f>
        <v>33.478999999999999</v>
      </c>
      <c r="G15" s="11" cm="1">
        <f t="array" ref="G15">_xll.BDH("TPX Index","DVD_PAYOUT_RATIO","CY 2011","CY 2011","Currency=USD","Period=CY","FUND_PER=Y","BEST_FPERIOD_OVERRIDE=1GY","FA_ADJUSTED=GAAP","Sort=A","Dates=H","DateFormat=P","Fill=—","Direction=H","UseDPDF=Y")</f>
        <v>47.094200000000001</v>
      </c>
      <c r="H15" s="11" cm="1">
        <f t="array" ref="H15">_xll.BDH("TPX Index","DVD_PAYOUT_RATIO","CY 2012","CY 2012","Currency=USD","Period=CY","FUND_PER=Y","BEST_FPERIOD_OVERRIDE=1GY","FA_ADJUSTED=GAAP","Sort=A","Dates=H","DateFormat=P","Fill=—","Direction=H","UseDPDF=Y")</f>
        <v>57.841700000000003</v>
      </c>
      <c r="I15" s="11" cm="1">
        <f t="array" ref="I15">_xll.BDH("TPX Index","DVD_PAYOUT_RATIO","CY 2013","CY 2013","Currency=USD","Period=CY","FUND_PER=Y","BEST_FPERIOD_OVERRIDE=1GY","FA_ADJUSTED=GAAP","Sort=A","Dates=H","DateFormat=P","Fill=—","Direction=H","UseDPDF=Y")</f>
        <v>28.6325</v>
      </c>
      <c r="J15" s="11" cm="1">
        <f t="array" ref="J15">_xll.BDH("TPX Index","DVD_PAYOUT_RATIO","CY 2014","CY 2014","Currency=USD","Period=CY","FUND_PER=Y","BEST_FPERIOD_OVERRIDE=1GY","FA_ADJUSTED=GAAP","Sort=A","Dates=H","DateFormat=P","Fill=—","Direction=H","UseDPDF=Y")</f>
        <v>28.923300000000001</v>
      </c>
      <c r="K15" s="11" cm="1">
        <f t="array" ref="K15">_xll.BDH("TPX Index","DVD_PAYOUT_RATIO","CY 2015","CY 2015","Currency=USD","Period=CY","FUND_PER=Y","BEST_FPERIOD_OVERRIDE=1GY","FA_ADJUSTED=GAAP","Sort=A","Dates=H","DateFormat=P","Fill=—","Direction=H","UseDPDF=Y")</f>
        <v>30.825299999999999</v>
      </c>
      <c r="L15" s="11" cm="1">
        <f t="array" ref="L15">_xll.BDH("TPX Index","DVD_PAYOUT_RATIO","CY 2016","CY 2016","Currency=USD","Period=CY","FUND_PER=Y","BEST_FPERIOD_OVERRIDE=1GY","FA_ADJUSTED=GAAP","Sort=A","Dates=H","DateFormat=P","Fill=—","Direction=H","UseDPDF=Y")</f>
        <v>37.049100000000003</v>
      </c>
      <c r="M15" s="11" cm="1">
        <f t="array" ref="M15">_xll.BDH("TPX Index","DVD_PAYOUT_RATIO","CY 2017","CY 2017","Currency=USD","Period=CY","FUND_PER=Y","BEST_FPERIOD_OVERRIDE=1GY","FA_ADJUSTED=GAAP","Sort=A","Dates=H","DateFormat=P","Fill=—","Direction=H","UseDPDF=Y")</f>
        <v>30.428599999999999</v>
      </c>
      <c r="N15" s="11" cm="1">
        <f t="array" ref="N15">_xll.BDH("TPX Index","DVD_PAYOUT_RATIO","CY 2018","CY 2018","Currency=USD","Period=CY","FUND_PER=Y","BEST_FPERIOD_OVERRIDE=1GY","FA_ADJUSTED=GAAP","Sort=A","Dates=H","DateFormat=P","Fill=—","Direction=H","UseDPDF=Y")</f>
        <v>29.596800000000002</v>
      </c>
      <c r="O15" s="11" cm="1">
        <f t="array" ref="O15">_xll.BDH("TPX Index","DVD_PAYOUT_RATIO","CY 2019","CY 2019","Currency=USD","Period=CY","FUND_PER=Y","BEST_FPERIOD_OVERRIDE=1GY","FA_ADJUSTED=GAAP","Sort=A","Dates=H","DateFormat=P","Fill=—","Direction=H","UseDPDF=Y")</f>
        <v>36.7746</v>
      </c>
      <c r="P15" s="11" cm="1">
        <f t="array" ref="P15">_xll.BDH("TPX Index","DVD_PAYOUT_RATIO","CY 2020","CY 2020","Currency=USD","Period=CY","FUND_PER=Y","BEST_FPERIOD_OVERRIDE=1GY","FA_ADJUSTED=GAAP","Sort=A","Dates=H","DateFormat=P","Fill=—","Direction=H","UseDPDF=Y")</f>
        <v>65.218100000000007</v>
      </c>
      <c r="Q15" s="11" cm="1">
        <f t="array" ref="Q15">_xll.BDH("TPX Index","DVD_PAYOUT_RATIO","CY 2021","CY 2021","Currency=USD","Period=CY","FUND_PER=Y","BEST_FPERIOD_OVERRIDE=1GY","FA_ADJUSTED=GAAP","Sort=A","Dates=H","DateFormat=P","Fill=—","Direction=H","UseDPDF=Y")</f>
        <v>30.780100000000001</v>
      </c>
      <c r="R15" s="11" cm="1">
        <f t="array" ref="R15">_xll.BDH("TPX Index","DVD_PAYOUT_RATIO","CY 2022","CY 2022","Currency=USD","Period=CY","FUND_PER=Y","BEST_FPERIOD_OVERRIDE=1GY","FA_ADJUSTED=GAAP","Sort=A","Dates=H","DateFormat=P","Fill=—","Direction=H","UseDPDF=Y")</f>
        <v>35.771700000000003</v>
      </c>
      <c r="S15" s="11" cm="1">
        <f t="array" ref="S15">_xll.BDH("TPX Index","DVD_PAYOUT_RATIO","CY 2023","CY 2023","Currency=USD","Period=CY","FUND_PER=Y","BEST_FPERIOD_OVERRIDE=1GY","FA_ADJUSTED=GAAP","Sort=A","Dates=H","DateFormat=P","Fill=—","Direction=H","UseDPDF=Y")</f>
        <v>35.666600000000003</v>
      </c>
      <c r="T15" s="11" cm="1">
        <f t="array" ref="T15">_xll.BDH("TPX Index","DVD_PAYOUT_RATIO","CY 2024","CY 2024","Currency=USD","Period=CY","FUND_PER=Y","BEST_FPERIOD_OVERRIDE=1GY","FA_ADJUSTED=GAAP","Sort=A","Dates=H","DateFormat=P","Fill=—","Direction=H","UseDPDF=Y")</f>
        <v>34.643799999999999</v>
      </c>
      <c r="U15" s="11"/>
      <c r="V15" s="11"/>
    </row>
    <row r="16" spans="1:22">
      <c r="A16" s="9" t="s">
        <v>58</v>
      </c>
      <c r="B16" s="9" t="s">
        <v>59</v>
      </c>
      <c r="C16" s="11" cm="1">
        <f t="array" ref="C16">_xll.BDH("TPX Index","ACTUAL_SALES_PER_EMPL","CY 2007","CY 2007","Currency=USD","Period=CY","FUND_PER=Y","BEST_FPERIOD_OVERRIDE=1GY","FA_ADJUSTED=GAAP","Sort=A","Dates=H","DateFormat=P","Fill=—","Direction=H","UseDPDF=Y")</f>
        <v>438739.80940000003</v>
      </c>
      <c r="D16" s="11" cm="1">
        <f t="array" ref="D16">_xll.BDH("TPX Index","ACTUAL_SALES_PER_EMPL","CY 2008","CY 2008","Currency=USD","Period=CY","FUND_PER=Y","BEST_FPERIOD_OVERRIDE=1GY","FA_ADJUSTED=GAAP","Sort=A","Dates=H","DateFormat=P","Fill=—","Direction=H","UseDPDF=Y")</f>
        <v>540400.40150000004</v>
      </c>
      <c r="E16" s="11" cm="1">
        <f t="array" ref="E16">_xll.BDH("TPX Index","ACTUAL_SALES_PER_EMPL","CY 2009","CY 2009","Currency=USD","Period=CY","FUND_PER=Y","BEST_FPERIOD_OVERRIDE=1GY","FA_ADJUSTED=GAAP","Sort=A","Dates=H","DateFormat=P","Fill=—","Direction=H","UseDPDF=Y")</f>
        <v>443334.8174</v>
      </c>
      <c r="F16" s="11" cm="1">
        <f t="array" ref="F16">_xll.BDH("TPX Index","ACTUAL_SALES_PER_EMPL","CY 2010","CY 2010","Currency=USD","Period=CY","FUND_PER=Y","BEST_FPERIOD_OVERRIDE=1GY","FA_ADJUSTED=GAAP","Sort=A","Dates=H","DateFormat=P","Fill=—","Direction=H","UseDPDF=Y")</f>
        <v>502721.62640000001</v>
      </c>
      <c r="G16" s="11" cm="1">
        <f t="array" ref="G16">_xll.BDH("TPX Index","ACTUAL_SALES_PER_EMPL","CY 2011","CY 2011","Currency=USD","Period=CY","FUND_PER=Y","BEST_FPERIOD_OVERRIDE=1GY","FA_ADJUSTED=GAAP","Sort=A","Dates=H","DateFormat=P","Fill=—","Direction=H","UseDPDF=Y")</f>
        <v>532476.73100000003</v>
      </c>
      <c r="H16" s="11" cm="1">
        <f t="array" ref="H16">_xll.BDH("TPX Index","ACTUAL_SALES_PER_EMPL","CY 2012","CY 2012","Currency=USD","Period=CY","FUND_PER=Y","BEST_FPERIOD_OVERRIDE=1GY","FA_ADJUSTED=GAAP","Sort=A","Dates=H","DateFormat=P","Fill=—","Direction=H","UseDPDF=Y")</f>
        <v>491919.4486</v>
      </c>
      <c r="I16" s="11" cm="1">
        <f t="array" ref="I16">_xll.BDH("TPX Index","ACTUAL_SALES_PER_EMPL","CY 2013","CY 2013","Currency=USD","Period=CY","FUND_PER=Y","BEST_FPERIOD_OVERRIDE=1GY","FA_ADJUSTED=GAAP","Sort=A","Dates=H","DateFormat=P","Fill=—","Direction=H","UseDPDF=Y")</f>
        <v>422751.7806</v>
      </c>
      <c r="J16" s="11" cm="1">
        <f t="array" ref="J16">_xll.BDH("TPX Index","ACTUAL_SALES_PER_EMPL","CY 2014","CY 2014","Currency=USD","Period=CY","FUND_PER=Y","BEST_FPERIOD_OVERRIDE=1GY","FA_ADJUSTED=GAAP","Sort=A","Dates=H","DateFormat=P","Fill=—","Direction=H","UseDPDF=Y")</f>
        <v>388098.10210000002</v>
      </c>
      <c r="K16" s="11" cm="1">
        <f t="array" ref="K16">_xll.BDH("TPX Index","ACTUAL_SALES_PER_EMPL","CY 2015","CY 2015","Currency=USD","Period=CY","FUND_PER=Y","BEST_FPERIOD_OVERRIDE=1GY","FA_ADJUSTED=GAAP","Sort=A","Dates=H","DateFormat=P","Fill=—","Direction=H","UseDPDF=Y")</f>
        <v>389871.43810000003</v>
      </c>
      <c r="L16" s="11" cm="1">
        <f t="array" ref="L16">_xll.BDH("TPX Index","ACTUAL_SALES_PER_EMPL","CY 2016","CY 2016","Currency=USD","Period=CY","FUND_PER=Y","BEST_FPERIOD_OVERRIDE=1GY","FA_ADJUSTED=GAAP","Sort=A","Dates=H","DateFormat=P","Fill=—","Direction=H","UseDPDF=Y")</f>
        <v>378306.48349999997</v>
      </c>
      <c r="M16" s="11" cm="1">
        <f t="array" ref="M16">_xll.BDH("TPX Index","ACTUAL_SALES_PER_EMPL","CY 2017","CY 2017","Currency=USD","Period=CY","FUND_PER=Y","BEST_FPERIOD_OVERRIDE=1GY","FA_ADJUSTED=GAAP","Sort=A","Dates=H","DateFormat=P","Fill=—","Direction=H","UseDPDF=Y")</f>
        <v>395774.10430000001</v>
      </c>
      <c r="N16" s="11" cm="1">
        <f t="array" ref="N16">_xll.BDH("TPX Index","ACTUAL_SALES_PER_EMPL","CY 2018","CY 2018","Currency=USD","Period=CY","FUND_PER=Y","BEST_FPERIOD_OVERRIDE=1GY","FA_ADJUSTED=GAAP","Sort=A","Dates=H","DateFormat=P","Fill=—","Direction=H","UseDPDF=Y")</f>
        <v>419599.27069999999</v>
      </c>
      <c r="O16" s="11" cm="1">
        <f t="array" ref="O16">_xll.BDH("TPX Index","ACTUAL_SALES_PER_EMPL","CY 2019","CY 2019","Currency=USD","Period=CY","FUND_PER=Y","BEST_FPERIOD_OVERRIDE=1GY","FA_ADJUSTED=GAAP","Sort=A","Dates=H","DateFormat=P","Fill=—","Direction=H","UseDPDF=Y")</f>
        <v>431929.40049999999</v>
      </c>
      <c r="P16" s="11" cm="1">
        <f t="array" ref="P16">_xll.BDH("TPX Index","ACTUAL_SALES_PER_EMPL","CY 2020","CY 2020","Currency=USD","Period=CY","FUND_PER=Y","BEST_FPERIOD_OVERRIDE=1GY","FA_ADJUSTED=GAAP","Sort=A","Dates=H","DateFormat=P","Fill=—","Direction=H","UseDPDF=Y")</f>
        <v>406952.64809999999</v>
      </c>
      <c r="Q16" s="11" cm="1">
        <f t="array" ref="Q16">_xll.BDH("TPX Index","ACTUAL_SALES_PER_EMPL","CY 2021","CY 2021","Currency=USD","Period=CY","FUND_PER=Y","BEST_FPERIOD_OVERRIDE=1GY","FA_ADJUSTED=GAAP","Sort=A","Dates=H","DateFormat=P","Fill=—","Direction=H","UseDPDF=Y")</f>
        <v>389171.78210000001</v>
      </c>
      <c r="R16" s="11" cm="1">
        <f t="array" ref="R16">_xll.BDH("TPX Index","ACTUAL_SALES_PER_EMPL","CY 2022","CY 2022","Currency=USD","Period=CY","FUND_PER=Y","BEST_FPERIOD_OVERRIDE=1GY","FA_ADJUSTED=GAAP","Sort=A","Dates=H","DateFormat=P","Fill=—","Direction=H","UseDPDF=Y")</f>
        <v>377020.13209999999</v>
      </c>
      <c r="S16" s="11" cm="1">
        <f t="array" ref="S16">_xll.BDH("TPX Index","ACTUAL_SALES_PER_EMPL","CY 2023","CY 2023","Currency=USD","Period=CY","FUND_PER=Y","BEST_FPERIOD_OVERRIDE=1GY","FA_ADJUSTED=GAAP","Sort=A","Dates=H","DateFormat=P","Fill=—","Direction=H","UseDPDF=Y")</f>
        <v>386953.78539999999</v>
      </c>
      <c r="T16" s="11" cm="1">
        <f t="array" ref="T16">_xll.BDH("TPX Index","ACTUAL_SALES_PER_EMPL","CY 2024","CY 2024","Currency=USD","Period=CY","FUND_PER=Y","BEST_FPERIOD_OVERRIDE=1GY","FA_ADJUSTED=GAAP","Sort=A","Dates=H","DateFormat=P","Fill=—","Direction=H","UseDPDF=Y")</f>
        <v>372283.00630000001</v>
      </c>
      <c r="U16" s="11"/>
      <c r="V16" s="11"/>
    </row>
    <row r="17" spans="1:22">
      <c r="A17" s="6" t="s">
        <v>60</v>
      </c>
      <c r="B17" s="6"/>
      <c r="C17" s="6" t="s">
        <v>61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lzweig</dc:creator>
  <cp:keywords/>
  <dc:description/>
  <cp:lastModifiedBy>Elisa Massano</cp:lastModifiedBy>
  <cp:revision/>
  <dcterms:created xsi:type="dcterms:W3CDTF">2013-04-03T15:49:21Z</dcterms:created>
  <dcterms:modified xsi:type="dcterms:W3CDTF">2025-12-04T18:40:02Z</dcterms:modified>
  <cp:category/>
  <cp:contentStatus/>
</cp:coreProperties>
</file>