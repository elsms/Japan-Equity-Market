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72622C80-AB5D-433F-B501-2B5FE069E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itabil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 a="1"/>
  <c r="K15" i="2" a="1"/>
  <c r="K8" i="2" a="1"/>
  <c r="K13" i="2" a="1"/>
  <c r="K11" i="2" a="1"/>
  <c r="K16" i="2" a="1"/>
  <c r="K7" i="2" a="1"/>
  <c r="K12" i="2" a="1"/>
  <c r="K6" i="2" a="1"/>
  <c r="O15" i="2" a="1"/>
  <c r="O13" i="2" a="1"/>
  <c r="O8" i="2" a="1"/>
  <c r="O9" i="2" a="1"/>
  <c r="O11" i="2" a="1"/>
  <c r="O6" i="2" a="1"/>
  <c r="O12" i="2" a="1"/>
  <c r="O16" i="2" a="1"/>
  <c r="O7" i="2" a="1"/>
  <c r="T9" i="2" a="1"/>
  <c r="C16" i="2" a="1"/>
  <c r="N13" i="2" a="1"/>
  <c r="F8" i="2" a="1"/>
  <c r="D6" i="2" a="1"/>
  <c r="S15" i="2" a="1"/>
  <c r="G8" i="2" a="1"/>
  <c r="R15" i="2" a="1"/>
  <c r="T16" i="2" a="1"/>
  <c r="C13" i="2" a="1"/>
  <c r="N16" i="2" a="1"/>
  <c r="F13" i="2" a="1"/>
  <c r="D16" i="2" a="1"/>
  <c r="S6" i="2" a="1"/>
  <c r="G11" i="2" a="1"/>
  <c r="J9" i="2" a="1"/>
  <c r="I15" i="2" a="1"/>
  <c r="J11" i="2" a="1"/>
  <c r="T12" i="2" a="1"/>
  <c r="D15" i="2" a="1"/>
  <c r="J7" i="2" a="1"/>
  <c r="Q13" i="2" a="1"/>
  <c r="I11" i="2" a="1"/>
  <c r="E6" i="2" a="1"/>
  <c r="J16" i="2" a="1"/>
  <c r="T15" i="2" a="1"/>
  <c r="N12" i="2" a="1"/>
  <c r="N7" i="2" a="1"/>
  <c r="I6" i="2" a="1"/>
  <c r="E15" i="2" a="1"/>
  <c r="T7" i="2" a="1"/>
  <c r="J13" i="2" a="1"/>
  <c r="C15" i="2" a="1"/>
  <c r="J8" i="2" a="1"/>
  <c r="F11" i="2" a="1"/>
  <c r="C6" i="2" a="1"/>
  <c r="G15" i="2" a="1"/>
  <c r="Q16" i="2" a="1"/>
  <c r="D12" i="2" a="1"/>
  <c r="R9" i="2" a="1"/>
  <c r="D11" i="2" a="1"/>
  <c r="T13" i="2" a="1"/>
  <c r="C7" i="2" a="1"/>
  <c r="N6" i="2" a="1"/>
  <c r="F16" i="2" a="1"/>
  <c r="D13" i="2" a="1"/>
  <c r="E8" i="2" a="1"/>
  <c r="G12" i="2" a="1"/>
  <c r="J15" i="2" a="1"/>
  <c r="D9" i="2" a="1"/>
  <c r="G16" i="2" a="1"/>
  <c r="Q12" i="2" a="1"/>
  <c r="E16" i="2" a="1"/>
  <c r="T11" i="2" a="1"/>
  <c r="D7" i="2" a="1"/>
  <c r="E13" i="2" a="1"/>
  <c r="Q9" i="2" a="1"/>
  <c r="S12" i="2" a="1"/>
  <c r="R13" i="2" a="1"/>
  <c r="F9" i="2" a="1"/>
  <c r="S13" i="2" a="1"/>
  <c r="Q8" i="2" a="1"/>
  <c r="I9" i="2" a="1"/>
  <c r="R11" i="2" a="1"/>
  <c r="Q11" i="2" a="1"/>
  <c r="Q15" i="2" a="1"/>
  <c r="S11" i="2" a="1"/>
  <c r="R6" i="2" a="1"/>
  <c r="F15" i="2" a="1"/>
  <c r="G7" i="2" a="1"/>
  <c r="N15" i="2" a="1"/>
  <c r="R8" i="2" a="1"/>
  <c r="S9" i="2" a="1"/>
  <c r="T6" i="2" a="1"/>
  <c r="C9" i="2" a="1"/>
  <c r="N11" i="2" a="1"/>
  <c r="E9" i="2" a="1"/>
  <c r="N8" i="2" a="1"/>
  <c r="I8" i="2" a="1"/>
  <c r="G13" i="2" a="1"/>
  <c r="N9" i="2" a="1"/>
  <c r="D8" i="2" a="1"/>
  <c r="G9" i="2" a="1"/>
  <c r="Q6" i="2" a="1"/>
  <c r="I13" i="2" a="1"/>
  <c r="R16" i="2" a="1"/>
  <c r="J12" i="2" a="1"/>
  <c r="T8" i="2" a="1"/>
  <c r="J6" i="2" a="1"/>
  <c r="Q7" i="2" a="1"/>
  <c r="E7" i="2" a="1"/>
  <c r="R7" i="2" a="1"/>
  <c r="S16" i="2" a="1"/>
  <c r="C12" i="2" a="1"/>
  <c r="R12" i="2" a="1"/>
  <c r="I7" i="2" a="1"/>
  <c r="C8" i="2" a="1"/>
  <c r="S7" i="2" a="1"/>
  <c r="F6" i="2" a="1"/>
  <c r="S8" i="2" a="1"/>
  <c r="G6" i="2" a="1"/>
  <c r="I16" i="2" a="1"/>
  <c r="F7" i="2" a="1"/>
  <c r="E12" i="2" a="1"/>
  <c r="I12" i="2" a="1"/>
  <c r="E11" i="2" a="1"/>
  <c r="F12" i="2" a="1"/>
  <c r="C11" i="2" a="1"/>
  <c r="P8" i="2" a="1"/>
  <c r="L6" i="2" a="1"/>
  <c r="H9" i="2" a="1"/>
  <c r="P6" i="2" a="1"/>
  <c r="P12" i="2" a="1"/>
  <c r="P7" i="2" a="1"/>
  <c r="L9" i="2" a="1"/>
  <c r="M16" i="2" a="1"/>
  <c r="H12" i="2" a="1"/>
  <c r="L11" i="2" a="1"/>
  <c r="M6" i="2" a="1"/>
  <c r="L15" i="2" a="1"/>
  <c r="L16" i="2" a="1"/>
  <c r="M11" i="2" a="1"/>
  <c r="H13" i="2" a="1"/>
  <c r="P15" i="2" a="1"/>
  <c r="M15" i="2" a="1"/>
  <c r="L8" i="2" a="1"/>
  <c r="L13" i="2" a="1"/>
  <c r="M7" i="2" a="1"/>
  <c r="H8" i="2" a="1"/>
  <c r="P11" i="2" a="1"/>
  <c r="M12" i="2" a="1"/>
  <c r="H16" i="2" a="1"/>
  <c r="L12" i="2" a="1"/>
  <c r="M13" i="2" a="1"/>
  <c r="P16" i="2" a="1"/>
  <c r="M8" i="2" a="1"/>
  <c r="H11" i="2" a="1"/>
  <c r="P13" i="2" a="1"/>
  <c r="H7" i="2" a="1"/>
  <c r="M9" i="2" a="1"/>
  <c r="L7" i="2" a="1"/>
  <c r="H15" i="2" a="1"/>
  <c r="H6" i="2" a="1"/>
  <c r="P9" i="2" a="1"/>
  <c r="K6" i="2" l="1"/>
  <c r="K12" i="2"/>
  <c r="K7" i="2"/>
  <c r="K16" i="2"/>
  <c r="K11" i="2"/>
  <c r="K13" i="2"/>
  <c r="K8" i="2"/>
  <c r="K15" i="2"/>
  <c r="K9" i="2"/>
  <c r="O7" i="2"/>
  <c r="O16" i="2"/>
  <c r="O12" i="2"/>
  <c r="O6" i="2"/>
  <c r="O11" i="2"/>
  <c r="O9" i="2"/>
  <c r="O8" i="2"/>
  <c r="O13" i="2"/>
  <c r="O15" i="2"/>
  <c r="C11" i="2"/>
  <c r="F12" i="2"/>
  <c r="E11" i="2"/>
  <c r="I12" i="2"/>
  <c r="E12" i="2"/>
  <c r="F7" i="2"/>
  <c r="I16" i="2"/>
  <c r="G6" i="2"/>
  <c r="S8" i="2"/>
  <c r="F6" i="2"/>
  <c r="S7" i="2"/>
  <c r="C8" i="2"/>
  <c r="I7" i="2"/>
  <c r="R12" i="2"/>
  <c r="C12" i="2"/>
  <c r="S16" i="2"/>
  <c r="R7" i="2"/>
  <c r="E7" i="2"/>
  <c r="Q7" i="2"/>
  <c r="J6" i="2"/>
  <c r="T8" i="2"/>
  <c r="J12" i="2"/>
  <c r="R16" i="2"/>
  <c r="I13" i="2"/>
  <c r="Q6" i="2"/>
  <c r="G9" i="2"/>
  <c r="D8" i="2"/>
  <c r="N9" i="2"/>
  <c r="G13" i="2"/>
  <c r="I8" i="2"/>
  <c r="N8" i="2"/>
  <c r="E9" i="2"/>
  <c r="N11" i="2"/>
  <c r="C9" i="2"/>
  <c r="T6" i="2"/>
  <c r="S9" i="2"/>
  <c r="R8" i="2"/>
  <c r="N15" i="2"/>
  <c r="G7" i="2"/>
  <c r="F15" i="2"/>
  <c r="R6" i="2"/>
  <c r="S11" i="2"/>
  <c r="Q15" i="2"/>
  <c r="Q11" i="2"/>
  <c r="R11" i="2"/>
  <c r="I9" i="2"/>
  <c r="Q8" i="2"/>
  <c r="S13" i="2"/>
  <c r="F9" i="2"/>
  <c r="R13" i="2"/>
  <c r="S12" i="2"/>
  <c r="Q9" i="2"/>
  <c r="E13" i="2"/>
  <c r="D7" i="2"/>
  <c r="T11" i="2"/>
  <c r="E16" i="2"/>
  <c r="Q12" i="2"/>
  <c r="G16" i="2"/>
  <c r="D9" i="2"/>
  <c r="J15" i="2"/>
  <c r="G12" i="2"/>
  <c r="E8" i="2"/>
  <c r="D13" i="2"/>
  <c r="F16" i="2"/>
  <c r="N6" i="2"/>
  <c r="C7" i="2"/>
  <c r="T13" i="2"/>
  <c r="D11" i="2"/>
  <c r="R9" i="2"/>
  <c r="D12" i="2"/>
  <c r="Q16" i="2"/>
  <c r="G15" i="2"/>
  <c r="C6" i="2"/>
  <c r="F11" i="2"/>
  <c r="J8" i="2"/>
  <c r="C15" i="2"/>
  <c r="J13" i="2"/>
  <c r="T7" i="2"/>
  <c r="E15" i="2"/>
  <c r="I6" i="2"/>
  <c r="N7" i="2"/>
  <c r="N12" i="2"/>
  <c r="T15" i="2"/>
  <c r="J16" i="2"/>
  <c r="E6" i="2"/>
  <c r="I11" i="2"/>
  <c r="Q13" i="2"/>
  <c r="J7" i="2"/>
  <c r="D15" i="2"/>
  <c r="T12" i="2"/>
  <c r="J11" i="2"/>
  <c r="I15" i="2"/>
  <c r="J9" i="2"/>
  <c r="G11" i="2"/>
  <c r="S6" i="2"/>
  <c r="D16" i="2"/>
  <c r="F13" i="2"/>
  <c r="N16" i="2"/>
  <c r="C13" i="2"/>
  <c r="T16" i="2"/>
  <c r="R15" i="2"/>
  <c r="G8" i="2"/>
  <c r="S15" i="2"/>
  <c r="D6" i="2"/>
  <c r="F8" i="2"/>
  <c r="N13" i="2"/>
  <c r="C16" i="2"/>
  <c r="T9" i="2"/>
  <c r="P9" i="2"/>
  <c r="H6" i="2"/>
  <c r="H15" i="2"/>
  <c r="L7" i="2"/>
  <c r="M9" i="2"/>
  <c r="H7" i="2"/>
  <c r="P13" i="2"/>
  <c r="H11" i="2"/>
  <c r="M8" i="2"/>
  <c r="P16" i="2"/>
  <c r="M13" i="2"/>
  <c r="L12" i="2"/>
  <c r="H16" i="2"/>
  <c r="M12" i="2"/>
  <c r="P11" i="2"/>
  <c r="H8" i="2"/>
  <c r="M7" i="2"/>
  <c r="L13" i="2"/>
  <c r="L8" i="2"/>
  <c r="M15" i="2"/>
  <c r="P15" i="2"/>
  <c r="H13" i="2"/>
  <c r="M11" i="2"/>
  <c r="L16" i="2"/>
  <c r="L15" i="2"/>
  <c r="M6" i="2"/>
  <c r="L11" i="2"/>
  <c r="H12" i="2"/>
  <c r="M16" i="2"/>
  <c r="L9" i="2"/>
  <c r="P7" i="2"/>
  <c r="P12" i="2"/>
  <c r="P6" i="2"/>
  <c r="H9" i="2"/>
  <c r="L6" i="2"/>
  <c r="P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<sst xmlns="http://schemas.openxmlformats.org/spreadsheetml/2006/main" count="62" uniqueCount="62">
  <si>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>S&amp;P 500 INDEX (SPX) - Profitability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</si>
  <si>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</si>
  <si>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</si>
  <si>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</si>
  <si>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</si>
  <si>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</si>
  <si>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</si>
  <si>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</si>
  <si>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</si>
  <si>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</si>
  <si>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</si>
  <si>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</si>
  <si>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</si>
  <si>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</si>
  <si>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</si>
  <si>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</si>
  <si>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</si>
  <si>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</si>
  <si>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</si>
  <si>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</si>
  <si>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</si>
  <si>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</si>
  <si>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</si>
  <si>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</si>
  <si>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</si>
  <si>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</si>
  <si>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</si>
  <si>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</si>
  <si>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</si>
  <si>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</si>
  <si>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</si>
  <si>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</si>
  <si>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</si>
  <si>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</si>
  <si>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</si>
  <si>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</si>
  <si>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</si>
  <si>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</si>
  <si>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</si>
  <si>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</si>
  <si>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</si>
  <si>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</si>
  <si>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Gross Margin</t>
  </si>
  <si>
    <t>TRAIL_12M_GROSS_MARGIN</t>
  </si>
  <si>
    <t>EBITDA Margin</t>
  </si>
  <si>
    <t>EBITDA_MARGIN</t>
  </si>
  <si>
    <t>Operating Margin</t>
  </si>
  <si>
    <t>TRAIL_12M_OPER_MARGIN</t>
  </si>
  <si>
    <t>Profit Margin</t>
  </si>
  <si>
    <t>TRAIL_12M_PROF_MARGIN</t>
  </si>
  <si>
    <t>Return on Assets</t>
  </si>
  <si>
    <t>RETURN_ON_ASSET</t>
  </si>
  <si>
    <t>Return on Common Equity</t>
  </si>
  <si>
    <t>RETURN_COM_EQY</t>
  </si>
  <si>
    <t>Return on Capital</t>
  </si>
  <si>
    <t>RETURN_ON_CAP</t>
  </si>
  <si>
    <t>Dividend Payout Ratio</t>
  </si>
  <si>
    <t>DVD_PAYOUT_RATIO</t>
  </si>
  <si>
    <t>Sales Per Employee</t>
  </si>
  <si>
    <t>ACTUAL_SALES_PER_EMPL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</si>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</sst>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_xll.BDH("SPX Index","TRAIL_12M_GROSS_MARGIN","CY 2007","CY 2007","Currency=USD","Period=CY","FUND_PER=Y","BEST_FPERIOD_OVERRIDE=1GY","FA_ADJUSTED=GAAP","Sort=A","Dates=H","DateFormat=P","Fill=—","Direction=H","UseDPDF=Y")</f>
        <v>31.836600000000001</v>
      </c>
      <c r="D6" s="11" cm="1">
        <f t="array" ref="D6">_xll.BDH("SPX Index","TRAIL_12M_GROSS_MARGIN","CY 2008","CY 2008","Currency=USD","Period=CY","FUND_PER=Y","BEST_FPERIOD_OVERRIDE=1GY","FA_ADJUSTED=GAAP","Sort=A","Dates=H","DateFormat=P","Fill=—","Direction=H","UseDPDF=Y")</f>
        <v>31.741900000000001</v>
      </c>
      <c r="E6" s="11" cm="1">
        <f t="array" ref="E6">_xll.BDH("SPX Index","TRAIL_12M_GROSS_MARGIN","CY 2009","CY 2009","Currency=USD","Period=CY","FUND_PER=Y","BEST_FPERIOD_OVERRIDE=1GY","FA_ADJUSTED=GAAP","Sort=A","Dates=H","DateFormat=P","Fill=—","Direction=H","UseDPDF=Y")</f>
        <v>33.070500000000003</v>
      </c>
      <c r="F6" s="11" cm="1">
        <f t="array" ref="F6">_xll.BDH("SPX Index","TRAIL_12M_GROSS_MARGIN","CY 2010","CY 2010","Currency=USD","Period=CY","FUND_PER=Y","BEST_FPERIOD_OVERRIDE=1GY","FA_ADJUSTED=GAAP","Sort=A","Dates=H","DateFormat=P","Fill=—","Direction=H","UseDPDF=Y")</f>
        <v>33.546399999999998</v>
      </c>
      <c r="G6" s="11" cm="1">
        <f t="array" ref="G6">_xll.BDH("SPX Index","TRAIL_12M_GROSS_MARGIN","CY 2011","CY 2011","Currency=USD","Period=CY","FUND_PER=Y","BEST_FPERIOD_OVERRIDE=1GY","FA_ADJUSTED=GAAP","Sort=A","Dates=H","DateFormat=P","Fill=—","Direction=H","UseDPDF=Y")</f>
        <v>32.594999999999999</v>
      </c>
      <c r="H6" s="11" cm="1">
        <f t="array" ref="H6">_xll.BDH("SPX Index","TRAIL_12M_GROSS_MARGIN","CY 2012","CY 2012","Currency=USD","Period=CY","FUND_PER=Y","BEST_FPERIOD_OVERRIDE=1GY","FA_ADJUSTED=GAAP","Sort=A","Dates=H","DateFormat=P","Fill=—","Direction=H","UseDPDF=Y")</f>
        <v>33.218699999999998</v>
      </c>
      <c r="I6" s="11" cm="1">
        <f t="array" ref="I6">_xll.BDH("SPX Index","TRAIL_12M_GROSS_MARGIN","CY 2013","CY 2013","Currency=USD","Period=CY","FUND_PER=Y","BEST_FPERIOD_OVERRIDE=1GY","FA_ADJUSTED=GAAP","Sort=A","Dates=H","DateFormat=P","Fill=—","Direction=H","UseDPDF=Y")</f>
        <v>33.528599999999997</v>
      </c>
      <c r="J6" s="11" cm="1">
        <f t="array" ref="J6">_xll.BDH("SPX Index","TRAIL_12M_GROSS_MARGIN","CY 2014","CY 2014","Currency=USD","Period=CY","FUND_PER=Y","BEST_FPERIOD_OVERRIDE=1GY","FA_ADJUSTED=GAAP","Sort=A","Dates=H","DateFormat=P","Fill=—","Direction=H","UseDPDF=Y")</f>
        <v>34.359000000000002</v>
      </c>
      <c r="K6" s="11" cm="1">
        <f t="array" ref="K6">_xll.BDH("SPX Index","TRAIL_12M_GROSS_MARGIN","CY 2015","CY 2015","Currency=USD","Period=CY","FUND_PER=Y","BEST_FPERIOD_OVERRIDE=1GY","FA_ADJUSTED=GAAP","Sort=A","Dates=H","DateFormat=P","Fill=—","Direction=H","UseDPDF=Y")</f>
        <v>34.868099999999998</v>
      </c>
      <c r="L6" s="11" cm="1">
        <f t="array" ref="L6">_xll.BDH("SPX Index","TRAIL_12M_GROSS_MARGIN","CY 2016","CY 2016","Currency=USD","Period=CY","FUND_PER=Y","BEST_FPERIOD_OVERRIDE=1GY","FA_ADJUSTED=GAAP","Sort=A","Dates=H","DateFormat=P","Fill=—","Direction=H","UseDPDF=Y")</f>
        <v>34.339799999999997</v>
      </c>
      <c r="M6" s="11" cm="1">
        <f t="array" ref="M6">_xll.BDH("SPX Index","TRAIL_12M_GROSS_MARGIN","CY 2017","CY 2017","Currency=USD","Period=CY","FUND_PER=Y","BEST_FPERIOD_OVERRIDE=1GY","FA_ADJUSTED=GAAP","Sort=A","Dates=H","DateFormat=P","Fill=—","Direction=H","UseDPDF=Y")</f>
        <v>35.179299999999998</v>
      </c>
      <c r="N6" s="11" cm="1">
        <f t="array" ref="N6">_xll.BDH("SPX Index","TRAIL_12M_GROSS_MARGIN","CY 2018","CY 2018","Currency=USD","Period=CY","FUND_PER=Y","BEST_FPERIOD_OVERRIDE=1GY","FA_ADJUSTED=GAAP","Sort=A","Dates=H","DateFormat=P","Fill=—","Direction=H","UseDPDF=Y")</f>
        <v>34.851799999999997</v>
      </c>
      <c r="O6" s="11" cm="1">
        <f t="array" ref="O6">_xll.BDH("SPX Index","TRAIL_12M_GROSS_MARGIN","CY 2019","CY 2019","Currency=USD","Period=CY","FUND_PER=Y","BEST_FPERIOD_OVERRIDE=1GY","FA_ADJUSTED=GAAP","Sort=A","Dates=H","DateFormat=P","Fill=—","Direction=H","UseDPDF=Y")</f>
        <v>34.942900000000002</v>
      </c>
      <c r="P6" s="11" cm="1">
        <f t="array" ref="P6">_xll.BDH("SPX Index","TRAIL_12M_GROSS_MARGIN","CY 2020","CY 2020","Currency=USD","Period=CY","FUND_PER=Y","BEST_FPERIOD_OVERRIDE=1GY","FA_ADJUSTED=GAAP","Sort=A","Dates=H","DateFormat=P","Fill=—","Direction=H","UseDPDF=Y")</f>
        <v>34.021000000000001</v>
      </c>
      <c r="Q6" s="11" cm="1">
        <f t="array" ref="Q6">_xll.BDH("SPX Index","TRAIL_12M_GROSS_MARGIN","CY 2021","CY 2021","Currency=USD","Period=CY","FUND_PER=Y","BEST_FPERIOD_OVERRIDE=1GY","FA_ADJUSTED=GAAP","Sort=A","Dates=H","DateFormat=P","Fill=—","Direction=H","UseDPDF=Y")</f>
        <v>35.835700000000003</v>
      </c>
      <c r="R6" s="11" cm="1">
        <f t="array" ref="R6">_xll.BDH("SPX Index","TRAIL_12M_GROSS_MARGIN","CY 2022","CY 2022","Currency=USD","Period=CY","FUND_PER=Y","BEST_FPERIOD_OVERRIDE=1GY","FA_ADJUSTED=GAAP","Sort=A","Dates=H","DateFormat=P","Fill=—","Direction=H","UseDPDF=Y")</f>
        <v>34.7485</v>
      </c>
      <c r="S6" s="11" cm="1">
        <f t="array" ref="S6">_xll.BDH("SPX Index","TRAIL_12M_GROSS_MARGIN","CY 2023","CY 2023","Currency=USD","Period=CY","FUND_PER=Y","BEST_FPERIOD_OVERRIDE=1GY","FA_ADJUSTED=GAAP","Sort=A","Dates=H","DateFormat=P","Fill=—","Direction=H","UseDPDF=Y")</f>
        <v>33.601199999999999</v>
      </c>
      <c r="T6" s="11" cm="1">
        <f t="array" ref="T6">_xll.BDH("SPX Index","TRAIL_12M_GROSS_MARGIN","CY 2024","CY 2024","Currency=USD","Period=CY","FUND_PER=Y","BEST_FPERIOD_OVERRIDE=1GY","FA_ADJUSTED=GAAP","Sort=A","Dates=H","DateFormat=P","Fill=—","Direction=H","UseDPDF=Y")</f>
        <v>34.003999999999998</v>
      </c>
      <c r="U6" s="11"/>
      <c r="V6" s="11"/>
    </row>
    <row r="7" spans="1:22">
      <c r="A7" s="9" t="s">
        <v>44</v>
      </c>
      <c r="B7" s="9" t="s">
        <v>45</v>
      </c>
      <c r="C7" s="11" cm="1">
        <f t="array" ref="C7">_xll.BDH("SPX Index","EBITDA_MARGIN","CY 2007","CY 2007","Currency=USD","Period=CY","FUND_PER=Y","BEST_FPERIOD_OVERRIDE=1GY","FA_ADJUSTED=GAAP","Sort=A","Dates=H","DateFormat=P","Fill=—","Direction=H","UseDPDF=Y")</f>
        <v>21.134799999999998</v>
      </c>
      <c r="D7" s="11" cm="1">
        <f t="array" ref="D7">_xll.BDH("SPX Index","EBITDA_MARGIN","CY 2008","CY 2008","Currency=USD","Period=CY","FUND_PER=Y","BEST_FPERIOD_OVERRIDE=1GY","FA_ADJUSTED=GAAP","Sort=A","Dates=H","DateFormat=P","Fill=—","Direction=H","UseDPDF=Y")</f>
        <v>18.3659</v>
      </c>
      <c r="E7" s="11" cm="1">
        <f t="array" ref="E7">_xll.BDH("SPX Index","EBITDA_MARGIN","CY 2009","CY 2009","Currency=USD","Period=CY","FUND_PER=Y","BEST_FPERIOD_OVERRIDE=1GY","FA_ADJUSTED=GAAP","Sort=A","Dates=H","DateFormat=P","Fill=—","Direction=H","UseDPDF=Y")</f>
        <v>15.481299999999999</v>
      </c>
      <c r="F7" s="11" cm="1">
        <f t="array" ref="F7">_xll.BDH("SPX Index","EBITDA_MARGIN","CY 2010","CY 2010","Currency=USD","Period=CY","FUND_PER=Y","BEST_FPERIOD_OVERRIDE=1GY","FA_ADJUSTED=GAAP","Sort=A","Dates=H","DateFormat=P","Fill=—","Direction=H","UseDPDF=Y")</f>
        <v>17.871200000000002</v>
      </c>
      <c r="G7" s="11" cm="1">
        <f t="array" ref="G7">_xll.BDH("SPX Index","EBITDA_MARGIN","CY 2011","CY 2011","Currency=USD","Period=CY","FUND_PER=Y","BEST_FPERIOD_OVERRIDE=1GY","FA_ADJUSTED=GAAP","Sort=A","Dates=H","DateFormat=P","Fill=—","Direction=H","UseDPDF=Y")</f>
        <v>18.154399999999999</v>
      </c>
      <c r="H7" s="11" cm="1">
        <f t="array" ref="H7">_xll.BDH("SPX Index","EBITDA_MARGIN","CY 2012","CY 2012","Currency=USD","Period=CY","FUND_PER=Y","BEST_FPERIOD_OVERRIDE=1GY","FA_ADJUSTED=GAAP","Sort=A","Dates=H","DateFormat=P","Fill=—","Direction=H","UseDPDF=Y")</f>
        <v>17.540199999999999</v>
      </c>
      <c r="I7" s="11" cm="1">
        <f t="array" ref="I7">_xll.BDH("SPX Index","EBITDA_MARGIN","CY 2013","CY 2013","Currency=USD","Period=CY","FUND_PER=Y","BEST_FPERIOD_OVERRIDE=1GY","FA_ADJUSTED=GAAP","Sort=A","Dates=H","DateFormat=P","Fill=—","Direction=H","UseDPDF=Y")</f>
        <v>17.602799999999998</v>
      </c>
      <c r="J7" s="11" cm="1">
        <f t="array" ref="J7">_xll.BDH("SPX Index","EBITDA_MARGIN","CY 2014","CY 2014","Currency=USD","Period=CY","FUND_PER=Y","BEST_FPERIOD_OVERRIDE=1GY","FA_ADJUSTED=GAAP","Sort=A","Dates=H","DateFormat=P","Fill=—","Direction=H","UseDPDF=Y")</f>
        <v>18.905100000000001</v>
      </c>
      <c r="K7" s="11" cm="1">
        <f t="array" ref="K7">_xll.BDH("SPX Index","EBITDA_MARGIN","CY 2015","CY 2015","Currency=USD","Period=CY","FUND_PER=Y","BEST_FPERIOD_OVERRIDE=1GY","FA_ADJUSTED=GAAP","Sort=A","Dates=H","DateFormat=P","Fill=—","Direction=H","UseDPDF=Y")</f>
        <v>17.2972</v>
      </c>
      <c r="L7" s="11" cm="1">
        <f t="array" ref="L7">_xll.BDH("SPX Index","EBITDA_MARGIN","CY 2016","CY 2016","Currency=USD","Period=CY","FUND_PER=Y","BEST_FPERIOD_OVERRIDE=1GY","FA_ADJUSTED=GAAP","Sort=A","Dates=H","DateFormat=P","Fill=—","Direction=H","UseDPDF=Y")</f>
        <v>17.601900000000001</v>
      </c>
      <c r="M7" s="11" cm="1">
        <f t="array" ref="M7">_xll.BDH("SPX Index","EBITDA_MARGIN","CY 2017","CY 2017","Currency=USD","Period=CY","FUND_PER=Y","BEST_FPERIOD_OVERRIDE=1GY","FA_ADJUSTED=GAAP","Sort=A","Dates=H","DateFormat=P","Fill=—","Direction=H","UseDPDF=Y")</f>
        <v>19.047000000000001</v>
      </c>
      <c r="N7" s="11" cm="1">
        <f t="array" ref="N7">_xll.BDH("SPX Index","EBITDA_MARGIN","CY 2018","CY 2018","Currency=USD","Period=CY","FUND_PER=Y","BEST_FPERIOD_OVERRIDE=1GY","FA_ADJUSTED=GAAP","Sort=A","Dates=H","DateFormat=P","Fill=—","Direction=H","UseDPDF=Y")</f>
        <v>19.126799999999999</v>
      </c>
      <c r="O7" s="11" cm="1">
        <f t="array" ref="O7">_xll.BDH("SPX Index","EBITDA_MARGIN","CY 2019","CY 2019","Currency=USD","Period=CY","FUND_PER=Y","BEST_FPERIOD_OVERRIDE=1GY","FA_ADJUSTED=GAAP","Sort=A","Dates=H","DateFormat=P","Fill=—","Direction=H","UseDPDF=Y")</f>
        <v>19.225000000000001</v>
      </c>
      <c r="P7" s="11" cm="1">
        <f t="array" ref="P7">_xll.BDH("SPX Index","EBITDA_MARGIN","CY 2020","CY 2020","Currency=USD","Period=CY","FUND_PER=Y","BEST_FPERIOD_OVERRIDE=1GY","FA_ADJUSTED=GAAP","Sort=A","Dates=H","DateFormat=P","Fill=—","Direction=H","UseDPDF=Y")</f>
        <v>17.403199999999998</v>
      </c>
      <c r="Q7" s="11" cm="1">
        <f t="array" ref="Q7">_xll.BDH("SPX Index","EBITDA_MARGIN","CY 2021","CY 2021","Currency=USD","Period=CY","FUND_PER=Y","BEST_FPERIOD_OVERRIDE=1GY","FA_ADJUSTED=GAAP","Sort=A","Dates=H","DateFormat=P","Fill=—","Direction=H","UseDPDF=Y")</f>
        <v>20.536899999999999</v>
      </c>
      <c r="R7" s="11" cm="1">
        <f t="array" ref="R7">_xll.BDH("SPX Index","EBITDA_MARGIN","CY 2022","CY 2022","Currency=USD","Period=CY","FUND_PER=Y","BEST_FPERIOD_OVERRIDE=1GY","FA_ADJUSTED=GAAP","Sort=A","Dates=H","DateFormat=P","Fill=—","Direction=H","UseDPDF=Y")</f>
        <v>19.810199999999998</v>
      </c>
      <c r="S7" s="11" cm="1">
        <f t="array" ref="S7">_xll.BDH("SPX Index","EBITDA_MARGIN","CY 2023","CY 2023","Currency=USD","Period=CY","FUND_PER=Y","BEST_FPERIOD_OVERRIDE=1GY","FA_ADJUSTED=GAAP","Sort=A","Dates=H","DateFormat=P","Fill=—","Direction=H","UseDPDF=Y")</f>
        <v>19.351800000000001</v>
      </c>
      <c r="T7" s="11" cm="1">
        <f t="array" ref="T7">_xll.BDH("SPX Index","EBITDA_MARGIN","CY 2024","CY 2024","Currency=USD","Period=CY","FUND_PER=Y","BEST_FPERIOD_OVERRIDE=1GY","FA_ADJUSTED=GAAP","Sort=A","Dates=H","DateFormat=P","Fill=—","Direction=H","UseDPDF=Y")</f>
        <v>20.1723</v>
      </c>
      <c r="U7" s="11"/>
      <c r="V7" s="11"/>
    </row>
    <row r="8" spans="1:22">
      <c r="A8" s="9" t="s">
        <v>46</v>
      </c>
      <c r="B8" s="9" t="s">
        <v>47</v>
      </c>
      <c r="C8" s="11" cm="1">
        <f t="array" ref="C8">_xll.BDH("SPX Index","TRAIL_12M_OPER_MARGIN","CY 2007","CY 2007","Currency=USD","Period=CY","FUND_PER=Y","BEST_FPERIOD_OVERRIDE=1GY","FA_ADJUSTED=GAAP","Sort=A","Dates=H","DateFormat=P","Fill=—","Direction=H","UseDPDF=Y")</f>
        <v>13.215299999999999</v>
      </c>
      <c r="D8" s="11" cm="1">
        <f t="array" ref="D8">_xll.BDH("SPX Index","TRAIL_12M_OPER_MARGIN","CY 2008","CY 2008","Currency=USD","Period=CY","FUND_PER=Y","BEST_FPERIOD_OVERRIDE=1GY","FA_ADJUSTED=GAAP","Sort=A","Dates=H","DateFormat=P","Fill=—","Direction=H","UseDPDF=Y")</f>
        <v>10.1777</v>
      </c>
      <c r="E8" s="11" cm="1">
        <f t="array" ref="E8">_xll.BDH("SPX Index","TRAIL_12M_OPER_MARGIN","CY 2009","CY 2009","Currency=USD","Period=CY","FUND_PER=Y","BEST_FPERIOD_OVERRIDE=1GY","FA_ADJUSTED=GAAP","Sort=A","Dates=H","DateFormat=P","Fill=—","Direction=H","UseDPDF=Y")</f>
        <v>8.6136999999999997</v>
      </c>
      <c r="F8" s="11" cm="1">
        <f t="array" ref="F8">_xll.BDH("SPX Index","TRAIL_12M_OPER_MARGIN","CY 2010","CY 2010","Currency=USD","Period=CY","FUND_PER=Y","BEST_FPERIOD_OVERRIDE=1GY","FA_ADJUSTED=GAAP","Sort=A","Dates=H","DateFormat=P","Fill=—","Direction=H","UseDPDF=Y")</f>
        <v>12.452199999999999</v>
      </c>
      <c r="G8" s="11" cm="1">
        <f t="array" ref="G8">_xll.BDH("SPX Index","TRAIL_12M_OPER_MARGIN","CY 2011","CY 2011","Currency=USD","Period=CY","FUND_PER=Y","BEST_FPERIOD_OVERRIDE=1GY","FA_ADJUSTED=GAAP","Sort=A","Dates=H","DateFormat=P","Fill=—","Direction=H","UseDPDF=Y")</f>
        <v>13.2676</v>
      </c>
      <c r="H8" s="11" cm="1">
        <f t="array" ref="H8">_xll.BDH("SPX Index","TRAIL_12M_OPER_MARGIN","CY 2012","CY 2012","Currency=USD","Period=CY","FUND_PER=Y","BEST_FPERIOD_OVERRIDE=1GY","FA_ADJUSTED=GAAP","Sort=A","Dates=H","DateFormat=P","Fill=—","Direction=H","UseDPDF=Y")</f>
        <v>12.726699999999999</v>
      </c>
      <c r="I8" s="11" cm="1">
        <f t="array" ref="I8">_xll.BDH("SPX Index","TRAIL_12M_OPER_MARGIN","CY 2013","CY 2013","Currency=USD","Period=CY","FUND_PER=Y","BEST_FPERIOD_OVERRIDE=1GY","FA_ADJUSTED=GAAP","Sort=A","Dates=H","DateFormat=P","Fill=—","Direction=H","UseDPDF=Y")</f>
        <v>12.6005</v>
      </c>
      <c r="J8" s="11" cm="1">
        <f t="array" ref="J8">_xll.BDH("SPX Index","TRAIL_12M_OPER_MARGIN","CY 2014","CY 2014","Currency=USD","Period=CY","FUND_PER=Y","BEST_FPERIOD_OVERRIDE=1GY","FA_ADJUSTED=GAAP","Sort=A","Dates=H","DateFormat=P","Fill=—","Direction=H","UseDPDF=Y")</f>
        <v>13.8066</v>
      </c>
      <c r="K8" s="11" cm="1">
        <f t="array" ref="K8">_xll.BDH("SPX Index","TRAIL_12M_OPER_MARGIN","CY 2015","CY 2015","Currency=USD","Period=CY","FUND_PER=Y","BEST_FPERIOD_OVERRIDE=1GY","FA_ADJUSTED=GAAP","Sort=A","Dates=H","DateFormat=P","Fill=—","Direction=H","UseDPDF=Y")</f>
        <v>12.1821</v>
      </c>
      <c r="L8" s="11" cm="1">
        <f t="array" ref="L8">_xll.BDH("SPX Index","TRAIL_12M_OPER_MARGIN","CY 2016","CY 2016","Currency=USD","Period=CY","FUND_PER=Y","BEST_FPERIOD_OVERRIDE=1GY","FA_ADJUSTED=GAAP","Sort=A","Dates=H","DateFormat=P","Fill=—","Direction=H","UseDPDF=Y")</f>
        <v>12.213200000000001</v>
      </c>
      <c r="M8" s="11" cm="1">
        <f t="array" ref="M8">_xll.BDH("SPX Index","TRAIL_12M_OPER_MARGIN","CY 2017","CY 2017","Currency=USD","Period=CY","FUND_PER=Y","BEST_FPERIOD_OVERRIDE=1GY","FA_ADJUSTED=GAAP","Sort=A","Dates=H","DateFormat=P","Fill=—","Direction=H","UseDPDF=Y")</f>
        <v>13.2896</v>
      </c>
      <c r="N8" s="11" cm="1">
        <f t="array" ref="N8">_xll.BDH("SPX Index","TRAIL_12M_OPER_MARGIN","CY 2018","CY 2018","Currency=USD","Period=CY","FUND_PER=Y","BEST_FPERIOD_OVERRIDE=1GY","FA_ADJUSTED=GAAP","Sort=A","Dates=H","DateFormat=P","Fill=—","Direction=H","UseDPDF=Y")</f>
        <v>13.4314</v>
      </c>
      <c r="O8" s="11" cm="1">
        <f t="array" ref="O8">_xll.BDH("SPX Index","TRAIL_12M_OPER_MARGIN","CY 2019","CY 2019","Currency=USD","Period=CY","FUND_PER=Y","BEST_FPERIOD_OVERRIDE=1GY","FA_ADJUSTED=GAAP","Sort=A","Dates=H","DateFormat=P","Fill=—","Direction=H","UseDPDF=Y")</f>
        <v>13.0009</v>
      </c>
      <c r="P8" s="11" cm="1">
        <f t="array" ref="P8">_xll.BDH("SPX Index","TRAIL_12M_OPER_MARGIN","CY 2020","CY 2020","Currency=USD","Period=CY","FUND_PER=Y","BEST_FPERIOD_OVERRIDE=1GY","FA_ADJUSTED=GAAP","Sort=A","Dates=H","DateFormat=P","Fill=—","Direction=H","UseDPDF=Y")</f>
        <v>10.717599999999999</v>
      </c>
      <c r="Q8" s="11" cm="1">
        <f t="array" ref="Q8">_xll.BDH("SPX Index","TRAIL_12M_OPER_MARGIN","CY 2021","CY 2021","Currency=USD","Period=CY","FUND_PER=Y","BEST_FPERIOD_OVERRIDE=1GY","FA_ADJUSTED=GAAP","Sort=A","Dates=H","DateFormat=P","Fill=—","Direction=H","UseDPDF=Y")</f>
        <v>15.0753</v>
      </c>
      <c r="R8" s="11" cm="1">
        <f t="array" ref="R8">_xll.BDH("SPX Index","TRAIL_12M_OPER_MARGIN","CY 2022","CY 2022","Currency=USD","Period=CY","FUND_PER=Y","BEST_FPERIOD_OVERRIDE=1GY","FA_ADJUSTED=GAAP","Sort=A","Dates=H","DateFormat=P","Fill=—","Direction=H","UseDPDF=Y")</f>
        <v>14.545199999999999</v>
      </c>
      <c r="S8" s="11" cm="1">
        <f t="array" ref="S8">_xll.BDH("SPX Index","TRAIL_12M_OPER_MARGIN","CY 2023","CY 2023","Currency=USD","Period=CY","FUND_PER=Y","BEST_FPERIOD_OVERRIDE=1GY","FA_ADJUSTED=GAAP","Sort=A","Dates=H","DateFormat=P","Fill=—","Direction=H","UseDPDF=Y")</f>
        <v>13.4876</v>
      </c>
      <c r="T8" s="11" cm="1">
        <f t="array" ref="T8">_xll.BDH("SPX Index","TRAIL_12M_OPER_MARGIN","CY 2024","CY 2024","Currency=USD","Period=CY","FUND_PER=Y","BEST_FPERIOD_OVERRIDE=1GY","FA_ADJUSTED=GAAP","Sort=A","Dates=H","DateFormat=P","Fill=—","Direction=H","UseDPDF=Y")</f>
        <v>13.8772</v>
      </c>
      <c r="U8" s="11"/>
      <c r="V8" s="11"/>
    </row>
    <row r="9" spans="1:22">
      <c r="A9" s="9" t="s">
        <v>48</v>
      </c>
      <c r="B9" s="9" t="s">
        <v>49</v>
      </c>
      <c r="C9" s="11" cm="1">
        <f t="array" ref="C9">_xll.BDH("SPX Index","TRAIL_12M_PROF_MARGIN","CY 2007","CY 2007","Currency=USD","Period=CY","FUND_PER=Y","BEST_FPERIOD_OVERRIDE=1GY","FA_ADJUSTED=GAAP","Sort=A","Dates=H","DateFormat=P","Fill=—","Direction=H","UseDPDF=Y")</f>
        <v>9.8117000000000001</v>
      </c>
      <c r="D9" s="11" cm="1">
        <f t="array" ref="D9">_xll.BDH("SPX Index","TRAIL_12M_PROF_MARGIN","CY 2008","CY 2008","Currency=USD","Period=CY","FUND_PER=Y","BEST_FPERIOD_OVERRIDE=1GY","FA_ADJUSTED=GAAP","Sort=A","Dates=H","DateFormat=P","Fill=—","Direction=H","UseDPDF=Y")</f>
        <v>7.8773</v>
      </c>
      <c r="E9" s="11" cm="1">
        <f t="array" ref="E9">_xll.BDH("SPX Index","TRAIL_12M_PROF_MARGIN","CY 2009","CY 2009","Currency=USD","Period=CY","FUND_PER=Y","BEST_FPERIOD_OVERRIDE=1GY","FA_ADJUSTED=GAAP","Sort=A","Dates=H","DateFormat=P","Fill=—","Direction=H","UseDPDF=Y")</f>
        <v>6.6802999999999999</v>
      </c>
      <c r="F9" s="11" cm="1">
        <f t="array" ref="F9">_xll.BDH("SPX Index","TRAIL_12M_PROF_MARGIN","CY 2010","CY 2010","Currency=USD","Period=CY","FUND_PER=Y","BEST_FPERIOD_OVERRIDE=1GY","FA_ADJUSTED=GAAP","Sort=A","Dates=H","DateFormat=P","Fill=—","Direction=H","UseDPDF=Y")</f>
        <v>9.0812000000000008</v>
      </c>
      <c r="G9" s="11" cm="1">
        <f t="array" ref="G9">_xll.BDH("SPX Index","TRAIL_12M_PROF_MARGIN","CY 2011","CY 2011","Currency=USD","Period=CY","FUND_PER=Y","BEST_FPERIOD_OVERRIDE=1GY","FA_ADJUSTED=GAAP","Sort=A","Dates=H","DateFormat=P","Fill=—","Direction=H","UseDPDF=Y")</f>
        <v>9.7814999999999994</v>
      </c>
      <c r="H9" s="11" cm="1">
        <f t="array" ref="H9">_xll.BDH("SPX Index","TRAIL_12M_PROF_MARGIN","CY 2012","CY 2012","Currency=USD","Period=CY","FUND_PER=Y","BEST_FPERIOD_OVERRIDE=1GY","FA_ADJUSTED=GAAP","Sort=A","Dates=H","DateFormat=P","Fill=—","Direction=H","UseDPDF=Y")</f>
        <v>9.8241999999999994</v>
      </c>
      <c r="I9" s="11" cm="1">
        <f t="array" ref="I9">_xll.BDH("SPX Index","TRAIL_12M_PROF_MARGIN","CY 2013","CY 2013","Currency=USD","Period=CY","FUND_PER=Y","BEST_FPERIOD_OVERRIDE=1GY","FA_ADJUSTED=GAAP","Sort=A","Dates=H","DateFormat=P","Fill=—","Direction=H","UseDPDF=Y")</f>
        <v>9.9880999999999993</v>
      </c>
      <c r="J9" s="11" cm="1">
        <f t="array" ref="J9">_xll.BDH("SPX Index","TRAIL_12M_PROF_MARGIN","CY 2014","CY 2014","Currency=USD","Period=CY","FUND_PER=Y","BEST_FPERIOD_OVERRIDE=1GY","FA_ADJUSTED=GAAP","Sort=A","Dates=H","DateFormat=P","Fill=—","Direction=H","UseDPDF=Y")</f>
        <v>10.7599</v>
      </c>
      <c r="K9" s="11" cm="1">
        <f t="array" ref="K9">_xll.BDH("SPX Index","TRAIL_12M_PROF_MARGIN","CY 2015","CY 2015","Currency=USD","Period=CY","FUND_PER=Y","BEST_FPERIOD_OVERRIDE=1GY","FA_ADJUSTED=GAAP","Sort=A","Dates=H","DateFormat=P","Fill=—","Direction=H","UseDPDF=Y")</f>
        <v>10.645799999999999</v>
      </c>
      <c r="L9" s="11" cm="1">
        <f t="array" ref="L9">_xll.BDH("SPX Index","TRAIL_12M_PROF_MARGIN","CY 2016","CY 2016","Currency=USD","Period=CY","FUND_PER=Y","BEST_FPERIOD_OVERRIDE=1GY","FA_ADJUSTED=GAAP","Sort=A","Dates=H","DateFormat=P","Fill=—","Direction=H","UseDPDF=Y")</f>
        <v>10.655900000000001</v>
      </c>
      <c r="M9" s="11" cm="1">
        <f t="array" ref="M9">_xll.BDH("SPX Index","TRAIL_12M_PROF_MARGIN","CY 2017","CY 2017","Currency=USD","Period=CY","FUND_PER=Y","BEST_FPERIOD_OVERRIDE=1GY","FA_ADJUSTED=GAAP","Sort=A","Dates=H","DateFormat=P","Fill=—","Direction=H","UseDPDF=Y")</f>
        <v>10.784599999999999</v>
      </c>
      <c r="N9" s="11" cm="1">
        <f t="array" ref="N9">_xll.BDH("SPX Index","TRAIL_12M_PROF_MARGIN","CY 2018","CY 2018","Currency=USD","Period=CY","FUND_PER=Y","BEST_FPERIOD_OVERRIDE=1GY","FA_ADJUSTED=GAAP","Sort=A","Dates=H","DateFormat=P","Fill=—","Direction=H","UseDPDF=Y")</f>
        <v>12.221</v>
      </c>
      <c r="O9" s="11" cm="1">
        <f t="array" ref="O9">_xll.BDH("SPX Index","TRAIL_12M_PROF_MARGIN","CY 2019","CY 2019","Currency=USD","Period=CY","FUND_PER=Y","BEST_FPERIOD_OVERRIDE=1GY","FA_ADJUSTED=GAAP","Sort=A","Dates=H","DateFormat=P","Fill=—","Direction=H","UseDPDF=Y")</f>
        <v>12.135</v>
      </c>
      <c r="P9" s="11" cm="1">
        <f t="array" ref="P9">_xll.BDH("SPX Index","TRAIL_12M_PROF_MARGIN","CY 2020","CY 2020","Currency=USD","Period=CY","FUND_PER=Y","BEST_FPERIOD_OVERRIDE=1GY","FA_ADJUSTED=GAAP","Sort=A","Dates=H","DateFormat=P","Fill=—","Direction=H","UseDPDF=Y")</f>
        <v>10.6111</v>
      </c>
      <c r="Q9" s="11" cm="1">
        <f t="array" ref="Q9">_xll.BDH("SPX Index","TRAIL_12M_PROF_MARGIN","CY 2021","CY 2021","Currency=USD","Period=CY","FUND_PER=Y","BEST_FPERIOD_OVERRIDE=1GY","FA_ADJUSTED=GAAP","Sort=A","Dates=H","DateFormat=P","Fill=—","Direction=H","UseDPDF=Y")</f>
        <v>13.3782</v>
      </c>
      <c r="R9" s="11" cm="1">
        <f t="array" ref="R9">_xll.BDH("SPX Index","TRAIL_12M_PROF_MARGIN","CY 2022","CY 2022","Currency=USD","Period=CY","FUND_PER=Y","BEST_FPERIOD_OVERRIDE=1GY","FA_ADJUSTED=GAAP","Sort=A","Dates=H","DateFormat=P","Fill=—","Direction=H","UseDPDF=Y")</f>
        <v>13.1631</v>
      </c>
      <c r="S9" s="11" cm="1">
        <f t="array" ref="S9">_xll.BDH("SPX Index","TRAIL_12M_PROF_MARGIN","CY 2023","CY 2023","Currency=USD","Period=CY","FUND_PER=Y","BEST_FPERIOD_OVERRIDE=1GY","FA_ADJUSTED=GAAP","Sort=A","Dates=H","DateFormat=P","Fill=—","Direction=H","UseDPDF=Y")</f>
        <v>12.429</v>
      </c>
      <c r="T9" s="11" cm="1">
        <f t="array" ref="T9">_xll.BDH("SPX Index","TRAIL_12M_PROF_MARGIN","CY 2024","CY 2024","Currency=USD","Period=CY","FUND_PER=Y","BEST_FPERIOD_OVERRIDE=1GY","FA_ADJUSTED=GAAP","Sort=A","Dates=H","DateFormat=P","Fill=—","Direction=H","UseDPDF=Y")</f>
        <v>12.770099999999999</v>
      </c>
      <c r="U9" s="11">
        <v>13.8119910964006</v>
      </c>
      <c r="V9" s="11">
        <v>14.648822736902201</v>
      </c>
    </row>
    <row r="10" spans="1:22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>
      <c r="A11" s="9" t="s">
        <v>50</v>
      </c>
      <c r="B11" s="9" t="s">
        <v>51</v>
      </c>
      <c r="C11" s="11" cm="1">
        <f t="array" ref="C11">_xll.BDH("SPX Index","RETURN_ON_ASSET","CY 2007","CY 2007","Currency=USD","Period=CY","FUND_PER=Y","BEST_FPERIOD_OVERRIDE=1GY","FA_ADJUSTED=GAAP","Sort=A","Dates=H","DateFormat=P","Fill=—","Direction=H","UseDPDF=Y")</f>
        <v>2.5817999999999999</v>
      </c>
      <c r="D11" s="11" cm="1">
        <f t="array" ref="D11">_xll.BDH("SPX Index","RETURN_ON_ASSET","CY 2008","CY 2008","Currency=USD","Period=CY","FUND_PER=Y","BEST_FPERIOD_OVERRIDE=1GY","FA_ADJUSTED=GAAP","Sort=A","Dates=H","DateFormat=P","Fill=—","Direction=H","UseDPDF=Y")</f>
        <v>2.0558000000000001</v>
      </c>
      <c r="E11" s="11" cm="1">
        <f t="array" ref="E11">_xll.BDH("SPX Index","RETURN_ON_ASSET","CY 2009","CY 2009","Currency=USD","Period=CY","FUND_PER=Y","BEST_FPERIOD_OVERRIDE=1GY","FA_ADJUSTED=GAAP","Sort=A","Dates=H","DateFormat=P","Fill=—","Direction=H","UseDPDF=Y")</f>
        <v>1.1795</v>
      </c>
      <c r="F11" s="11" cm="1">
        <f t="array" ref="F11">_xll.BDH("SPX Index","RETURN_ON_ASSET","CY 2010","CY 2010","Currency=USD","Period=CY","FUND_PER=Y","BEST_FPERIOD_OVERRIDE=1GY","FA_ADJUSTED=GAAP","Sort=A","Dates=H","DateFormat=P","Fill=—","Direction=H","UseDPDF=Y")</f>
        <v>2.8102</v>
      </c>
      <c r="G11" s="11" cm="1">
        <f t="array" ref="G11">_xll.BDH("SPX Index","RETURN_ON_ASSET","CY 2011","CY 2011","Currency=USD","Period=CY","FUND_PER=Y","BEST_FPERIOD_OVERRIDE=1GY","FA_ADJUSTED=GAAP","Sort=A","Dates=H","DateFormat=P","Fill=—","Direction=H","UseDPDF=Y")</f>
        <v>3.1459000000000001</v>
      </c>
      <c r="H11" s="11" cm="1">
        <f t="array" ref="H11">_xll.BDH("SPX Index","RETURN_ON_ASSET","CY 2012","CY 2012","Currency=USD","Period=CY","FUND_PER=Y","BEST_FPERIOD_OVERRIDE=1GY","FA_ADJUSTED=GAAP","Sort=A","Dates=H","DateFormat=P","Fill=—","Direction=H","UseDPDF=Y")</f>
        <v>2.9691000000000001</v>
      </c>
      <c r="I11" s="11" cm="1">
        <f t="array" ref="I11">_xll.BDH("SPX Index","RETURN_ON_ASSET","CY 2013","CY 2013","Currency=USD","Period=CY","FUND_PER=Y","BEST_FPERIOD_OVERRIDE=1GY","FA_ADJUSTED=GAAP","Sort=A","Dates=H","DateFormat=P","Fill=—","Direction=H","UseDPDF=Y")</f>
        <v>3.0790999999999999</v>
      </c>
      <c r="J11" s="11" cm="1">
        <f t="array" ref="J11">_xll.BDH("SPX Index","RETURN_ON_ASSET","CY 2014","CY 2014","Currency=USD","Period=CY","FUND_PER=Y","BEST_FPERIOD_OVERRIDE=1GY","FA_ADJUSTED=GAAP","Sort=A","Dates=H","DateFormat=P","Fill=—","Direction=H","UseDPDF=Y")</f>
        <v>3.2761999999999998</v>
      </c>
      <c r="K11" s="11" cm="1">
        <f t="array" ref="K11">_xll.BDH("SPX Index","RETURN_ON_ASSET","CY 2015","CY 2015","Currency=USD","Period=CY","FUND_PER=Y","BEST_FPERIOD_OVERRIDE=1GY","FA_ADJUSTED=GAAP","Sort=A","Dates=H","DateFormat=P","Fill=—","Direction=H","UseDPDF=Y")</f>
        <v>2.6924999999999999</v>
      </c>
      <c r="L11" s="11" cm="1">
        <f t="array" ref="L11">_xll.BDH("SPX Index","RETURN_ON_ASSET","CY 2016","CY 2016","Currency=USD","Period=CY","FUND_PER=Y","BEST_FPERIOD_OVERRIDE=1GY","FA_ADJUSTED=GAAP","Sort=A","Dates=H","DateFormat=P","Fill=—","Direction=H","UseDPDF=Y")</f>
        <v>2.5874999999999999</v>
      </c>
      <c r="M11" s="11" cm="1">
        <f t="array" ref="M11">_xll.BDH("SPX Index","RETURN_ON_ASSET","CY 2017","CY 2017","Currency=USD","Period=CY","FUND_PER=Y","BEST_FPERIOD_OVERRIDE=1GY","FA_ADJUSTED=GAAP","Sort=A","Dates=H","DateFormat=P","Fill=—","Direction=H","UseDPDF=Y")</f>
        <v>2.8761000000000001</v>
      </c>
      <c r="N11" s="11" cm="1">
        <f t="array" ref="N11">_xll.BDH("SPX Index","RETURN_ON_ASSET","CY 2018","CY 2018","Currency=USD","Period=CY","FUND_PER=Y","BEST_FPERIOD_OVERRIDE=1GY","FA_ADJUSTED=GAAP","Sort=A","Dates=H","DateFormat=P","Fill=—","Direction=H","UseDPDF=Y")</f>
        <v>3.3369</v>
      </c>
      <c r="O11" s="11" cm="1">
        <f t="array" ref="O11">_xll.BDH("SPX Index","RETURN_ON_ASSET","CY 2019","CY 2019","Currency=USD","Period=CY","FUND_PER=Y","BEST_FPERIOD_OVERRIDE=1GY","FA_ADJUSTED=GAAP","Sort=A","Dates=H","DateFormat=P","Fill=—","Direction=H","UseDPDF=Y")</f>
        <v>3.2454999999999998</v>
      </c>
      <c r="P11" s="11" cm="1">
        <f t="array" ref="P11">_xll.BDH("SPX Index","RETURN_ON_ASSET","CY 2020","CY 2020","Currency=USD","Period=CY","FUND_PER=Y","BEST_FPERIOD_OVERRIDE=1GY","FA_ADJUSTED=GAAP","Sort=A","Dates=H","DateFormat=P","Fill=—","Direction=H","UseDPDF=Y")</f>
        <v>2.2393000000000001</v>
      </c>
      <c r="Q11" s="11" cm="1">
        <f t="array" ref="Q11">_xll.BDH("SPX Index","RETURN_ON_ASSET","CY 2021","CY 2021","Currency=USD","Period=CY","FUND_PER=Y","BEST_FPERIOD_OVERRIDE=1GY","FA_ADJUSTED=GAAP","Sort=A","Dates=H","DateFormat=P","Fill=—","Direction=H","UseDPDF=Y")</f>
        <v>3.6947000000000001</v>
      </c>
      <c r="R11" s="11" cm="1">
        <f t="array" ref="R11">_xll.BDH("SPX Index","RETURN_ON_ASSET","CY 2022","CY 2022","Currency=USD","Period=CY","FUND_PER=Y","BEST_FPERIOD_OVERRIDE=1GY","FA_ADJUSTED=GAAP","Sort=A","Dates=H","DateFormat=P","Fill=—","Direction=H","UseDPDF=Y")</f>
        <v>3.8700999999999999</v>
      </c>
      <c r="S11" s="11" cm="1">
        <f t="array" ref="S11">_xll.BDH("SPX Index","RETURN_ON_ASSET","CY 2023","CY 2023","Currency=USD","Period=CY","FUND_PER=Y","BEST_FPERIOD_OVERRIDE=1GY","FA_ADJUSTED=GAAP","Sort=A","Dates=H","DateFormat=P","Fill=—","Direction=H","UseDPDF=Y")</f>
        <v>3.7921</v>
      </c>
      <c r="T11" s="11" cm="1">
        <f t="array" ref="T11">_xll.BDH("SPX Index","RETURN_ON_ASSET","CY 2024","CY 2024","Currency=USD","Period=CY","FUND_PER=Y","BEST_FPERIOD_OVERRIDE=1GY","FA_ADJUSTED=GAAP","Sort=A","Dates=H","DateFormat=P","Fill=—","Direction=H","UseDPDF=Y")</f>
        <v>3.8592</v>
      </c>
      <c r="U11" s="11">
        <v>4.8297036010679202</v>
      </c>
      <c r="V11" s="11">
        <v>5.6975304941496496</v>
      </c>
    </row>
    <row r="12" spans="1:22">
      <c r="A12" s="9" t="s">
        <v>52</v>
      </c>
      <c r="B12" s="9" t="s">
        <v>53</v>
      </c>
      <c r="C12" s="11" cm="1">
        <f t="array" ref="C12">_xll.BDH("SPX Index","RETURN_COM_EQY","CY 2007","CY 2007","Currency=USD","Period=CY","FUND_PER=Y","BEST_FPERIOD_OVERRIDE=1GY","FA_ADJUSTED=GAAP","Sort=A","Dates=H","DateFormat=P","Fill=—","Direction=H","UseDPDF=Y")</f>
        <v>16.098299999999998</v>
      </c>
      <c r="D12" s="11" cm="1">
        <f t="array" ref="D12">_xll.BDH("SPX Index","RETURN_COM_EQY","CY 2008","CY 2008","Currency=USD","Period=CY","FUND_PER=Y","BEST_FPERIOD_OVERRIDE=1GY","FA_ADJUSTED=GAAP","Sort=A","Dates=H","DateFormat=P","Fill=—","Direction=H","UseDPDF=Y")</f>
        <v>11.594099999999999</v>
      </c>
      <c r="E12" s="11" cm="1">
        <f t="array" ref="E12">_xll.BDH("SPX Index","RETURN_COM_EQY","CY 2009","CY 2009","Currency=USD","Period=CY","FUND_PER=Y","BEST_FPERIOD_OVERRIDE=1GY","FA_ADJUSTED=GAAP","Sort=A","Dates=H","DateFormat=P","Fill=—","Direction=H","UseDPDF=Y")</f>
        <v>5.6334999999999997</v>
      </c>
      <c r="F12" s="11" cm="1">
        <f t="array" ref="F12">_xll.BDH("SPX Index","RETURN_COM_EQY","CY 2010","CY 2010","Currency=USD","Period=CY","FUND_PER=Y","BEST_FPERIOD_OVERRIDE=1GY","FA_ADJUSTED=GAAP","Sort=A","Dates=H","DateFormat=P","Fill=—","Direction=H","UseDPDF=Y")</f>
        <v>13.449299999999999</v>
      </c>
      <c r="G12" s="11" cm="1">
        <f t="array" ref="G12">_xll.BDH("SPX Index","RETURN_COM_EQY","CY 2011","CY 2011","Currency=USD","Period=CY","FUND_PER=Y","BEST_FPERIOD_OVERRIDE=1GY","FA_ADJUSTED=GAAP","Sort=A","Dates=H","DateFormat=P","Fill=—","Direction=H","UseDPDF=Y")</f>
        <v>14.7296</v>
      </c>
      <c r="H12" s="11" cm="1">
        <f t="array" ref="H12">_xll.BDH("SPX Index","RETURN_COM_EQY","CY 2012","CY 2012","Currency=USD","Period=CY","FUND_PER=Y","BEST_FPERIOD_OVERRIDE=1GY","FA_ADJUSTED=GAAP","Sort=A","Dates=H","DateFormat=P","Fill=—","Direction=H","UseDPDF=Y")</f>
        <v>13.777200000000001</v>
      </c>
      <c r="I12" s="11" cm="1">
        <f t="array" ref="I12">_xll.BDH("SPX Index","RETURN_COM_EQY","CY 2013","CY 2013","Currency=USD","Period=CY","FUND_PER=Y","BEST_FPERIOD_OVERRIDE=1GY","FA_ADJUSTED=GAAP","Sort=A","Dates=H","DateFormat=P","Fill=—","Direction=H","UseDPDF=Y")</f>
        <v>14.258900000000001</v>
      </c>
      <c r="J12" s="11" cm="1">
        <f t="array" ref="J12">_xll.BDH("SPX Index","RETURN_COM_EQY","CY 2014","CY 2014","Currency=USD","Period=CY","FUND_PER=Y","BEST_FPERIOD_OVERRIDE=1GY","FA_ADJUSTED=GAAP","Sort=A","Dates=H","DateFormat=P","Fill=—","Direction=H","UseDPDF=Y")</f>
        <v>14.8263</v>
      </c>
      <c r="K12" s="11" cm="1">
        <f t="array" ref="K12">_xll.BDH("SPX Index","RETURN_COM_EQY","CY 2015","CY 2015","Currency=USD","Period=CY","FUND_PER=Y","BEST_FPERIOD_OVERRIDE=1GY","FA_ADJUSTED=GAAP","Sort=A","Dates=H","DateFormat=P","Fill=—","Direction=H","UseDPDF=Y")</f>
        <v>12.5021</v>
      </c>
      <c r="L12" s="11" cm="1">
        <f t="array" ref="L12">_xll.BDH("SPX Index","RETURN_COM_EQY","CY 2016","CY 2016","Currency=USD","Period=CY","FUND_PER=Y","BEST_FPERIOD_OVERRIDE=1GY","FA_ADJUSTED=GAAP","Sort=A","Dates=H","DateFormat=P","Fill=—","Direction=H","UseDPDF=Y")</f>
        <v>12.1868</v>
      </c>
      <c r="M12" s="11" cm="1">
        <f t="array" ref="M12">_xll.BDH("SPX Index","RETURN_COM_EQY","CY 2017","CY 2017","Currency=USD","Period=CY","FUND_PER=Y","BEST_FPERIOD_OVERRIDE=1GY","FA_ADJUSTED=GAAP","Sort=A","Dates=H","DateFormat=P","Fill=—","Direction=H","UseDPDF=Y")</f>
        <v>13.528499999999999</v>
      </c>
      <c r="N12" s="11" cm="1">
        <f t="array" ref="N12">_xll.BDH("SPX Index","RETURN_COM_EQY","CY 2018","CY 2018","Currency=USD","Period=CY","FUND_PER=Y","BEST_FPERIOD_OVERRIDE=1GY","FA_ADJUSTED=GAAP","Sort=A","Dates=H","DateFormat=P","Fill=—","Direction=H","UseDPDF=Y")</f>
        <v>15.6225</v>
      </c>
      <c r="O12" s="11" cm="1">
        <f t="array" ref="O12">_xll.BDH("SPX Index","RETURN_COM_EQY","CY 2019","CY 2019","Currency=USD","Period=CY","FUND_PER=Y","BEST_FPERIOD_OVERRIDE=1GY","FA_ADJUSTED=GAAP","Sort=A","Dates=H","DateFormat=P","Fill=—","Direction=H","UseDPDF=Y")</f>
        <v>15.164899999999999</v>
      </c>
      <c r="P12" s="11" cm="1">
        <f t="array" ref="P12">_xll.BDH("SPX Index","RETURN_COM_EQY","CY 2020","CY 2020","Currency=USD","Period=CY","FUND_PER=Y","BEST_FPERIOD_OVERRIDE=1GY","FA_ADJUSTED=GAAP","Sort=A","Dates=H","DateFormat=P","Fill=—","Direction=H","UseDPDF=Y")</f>
        <v>11.1548</v>
      </c>
      <c r="Q12" s="11" cm="1">
        <f t="array" ref="Q12">_xll.BDH("SPX Index","RETURN_COM_EQY","CY 2021","CY 2021","Currency=USD","Period=CY","FUND_PER=Y","BEST_FPERIOD_OVERRIDE=1GY","FA_ADJUSTED=GAAP","Sort=A","Dates=H","DateFormat=P","Fill=—","Direction=H","UseDPDF=Y")</f>
        <v>18.4589</v>
      </c>
      <c r="R12" s="11" cm="1">
        <f t="array" ref="R12">_xll.BDH("SPX Index","RETURN_COM_EQY","CY 2022","CY 2022","Currency=USD","Period=CY","FUND_PER=Y","BEST_FPERIOD_OVERRIDE=1GY","FA_ADJUSTED=GAAP","Sort=A","Dates=H","DateFormat=P","Fill=—","Direction=H","UseDPDF=Y")</f>
        <v>19.375399999999999</v>
      </c>
      <c r="S12" s="11" cm="1">
        <f t="array" ref="S12">_xll.BDH("SPX Index","RETURN_COM_EQY","CY 2023","CY 2023","Currency=USD","Period=CY","FUND_PER=Y","BEST_FPERIOD_OVERRIDE=1GY","FA_ADJUSTED=GAAP","Sort=A","Dates=H","DateFormat=P","Fill=—","Direction=H","UseDPDF=Y")</f>
        <v>17.9177</v>
      </c>
      <c r="T12" s="11" cm="1">
        <f t="array" ref="T12">_xll.BDH("SPX Index","RETURN_COM_EQY","CY 2024","CY 2024","Currency=USD","Period=CY","FUND_PER=Y","BEST_FPERIOD_OVERRIDE=1GY","FA_ADJUSTED=GAAP","Sort=A","Dates=H","DateFormat=P","Fill=—","Direction=H","UseDPDF=Y")</f>
        <v>17.565300000000001</v>
      </c>
      <c r="U12" s="11">
        <v>18.924649476686799</v>
      </c>
      <c r="V12" s="11">
        <v>19.805905902968</v>
      </c>
    </row>
    <row r="13" spans="1:22">
      <c r="A13" s="9" t="s">
        <v>54</v>
      </c>
      <c r="B13" s="9" t="s">
        <v>55</v>
      </c>
      <c r="C13" s="11" cm="1">
        <f t="array" ref="C13">_xll.BDH("SPX Index","RETURN_ON_CAP","CY 2007","CY 2007","Currency=USD","Period=CY","FUND_PER=Y","BEST_FPERIOD_OVERRIDE=1GY","FA_ADJUSTED=GAAP","Sort=A","Dates=H","DateFormat=P","Fill=—","Direction=H","UseDPDF=Y")</f>
        <v>4.6397000000000004</v>
      </c>
      <c r="D13" s="11" cm="1">
        <f t="array" ref="D13">_xll.BDH("SPX Index","RETURN_ON_CAP","CY 2008","CY 2008","Currency=USD","Period=CY","FUND_PER=Y","BEST_FPERIOD_OVERRIDE=1GY","FA_ADJUSTED=GAAP","Sort=A","Dates=H","DateFormat=P","Fill=—","Direction=H","UseDPDF=Y")</f>
        <v>3.9902000000000002</v>
      </c>
      <c r="E13" s="11" cm="1">
        <f t="array" ref="E13">_xll.BDH("SPX Index","RETURN_ON_CAP","CY 2009","CY 2009","Currency=USD","Period=CY","FUND_PER=Y","BEST_FPERIOD_OVERRIDE=1GY","FA_ADJUSTED=GAAP","Sort=A","Dates=H","DateFormat=P","Fill=—","Direction=H","UseDPDF=Y")</f>
        <v>2.3491</v>
      </c>
      <c r="F13" s="11" cm="1">
        <f t="array" ref="F13">_xll.BDH("SPX Index","RETURN_ON_CAP","CY 2010","CY 2010","Currency=USD","Period=CY","FUND_PER=Y","BEST_FPERIOD_OVERRIDE=1GY","FA_ADJUSTED=GAAP","Sort=A","Dates=H","DateFormat=P","Fill=—","Direction=H","UseDPDF=Y")</f>
        <v>5.5208000000000004</v>
      </c>
      <c r="G13" s="11" cm="1">
        <f t="array" ref="G13">_xll.BDH("SPX Index","RETURN_ON_CAP","CY 2011","CY 2011","Currency=USD","Period=CY","FUND_PER=Y","BEST_FPERIOD_OVERRIDE=1GY","FA_ADJUSTED=GAAP","Sort=A","Dates=H","DateFormat=P","Fill=—","Direction=H","UseDPDF=Y")</f>
        <v>6.4032999999999998</v>
      </c>
      <c r="H13" s="11" cm="1">
        <f t="array" ref="H13">_xll.BDH("SPX Index","RETURN_ON_CAP","CY 2012","CY 2012","Currency=USD","Period=CY","FUND_PER=Y","BEST_FPERIOD_OVERRIDE=1GY","FA_ADJUSTED=GAAP","Sort=A","Dates=H","DateFormat=P","Fill=—","Direction=H","UseDPDF=Y")</f>
        <v>6.1843000000000004</v>
      </c>
      <c r="I13" s="11" cm="1">
        <f t="array" ref="I13">_xll.BDH("SPX Index","RETURN_ON_CAP","CY 2013","CY 2013","Currency=USD","Period=CY","FUND_PER=Y","BEST_FPERIOD_OVERRIDE=1GY","FA_ADJUSTED=GAAP","Sort=A","Dates=H","DateFormat=P","Fill=—","Direction=H","UseDPDF=Y")</f>
        <v>6.6195000000000004</v>
      </c>
      <c r="J13" s="11" cm="1">
        <f t="array" ref="J13">_xll.BDH("SPX Index","RETURN_ON_CAP","CY 2014","CY 2014","Currency=USD","Period=CY","FUND_PER=Y","BEST_FPERIOD_OVERRIDE=1GY","FA_ADJUSTED=GAAP","Sort=A","Dates=H","DateFormat=P","Fill=—","Direction=H","UseDPDF=Y")</f>
        <v>6.9973000000000001</v>
      </c>
      <c r="K13" s="11" cm="1">
        <f t="array" ref="K13">_xll.BDH("SPX Index","RETURN_ON_CAP","CY 2015","CY 2015","Currency=USD","Period=CY","FUND_PER=Y","BEST_FPERIOD_OVERRIDE=1GY","FA_ADJUSTED=GAAP","Sort=A","Dates=H","DateFormat=P","Fill=—","Direction=H","UseDPDF=Y")</f>
        <v>5.7504</v>
      </c>
      <c r="L13" s="11" cm="1">
        <f t="array" ref="L13">_xll.BDH("SPX Index","RETURN_ON_CAP","CY 2016","CY 2016","Currency=USD","Period=CY","FUND_PER=Y","BEST_FPERIOD_OVERRIDE=1GY","FA_ADJUSTED=GAAP","Sort=A","Dates=H","DateFormat=P","Fill=—","Direction=H","UseDPDF=Y")</f>
        <v>5.5271999999999997</v>
      </c>
      <c r="M13" s="11" cm="1">
        <f t="array" ref="M13">_xll.BDH("SPX Index","RETURN_ON_CAP","CY 2017","CY 2017","Currency=USD","Period=CY","FUND_PER=Y","BEST_FPERIOD_OVERRIDE=1GY","FA_ADJUSTED=GAAP","Sort=A","Dates=H","DateFormat=P","Fill=—","Direction=H","UseDPDF=Y")</f>
        <v>6.0766</v>
      </c>
      <c r="N13" s="11" cm="1">
        <f t="array" ref="N13">_xll.BDH("SPX Index","RETURN_ON_CAP","CY 2018","CY 2018","Currency=USD","Period=CY","FUND_PER=Y","BEST_FPERIOD_OVERRIDE=1GY","FA_ADJUSTED=GAAP","Sort=A","Dates=H","DateFormat=P","Fill=—","Direction=H","UseDPDF=Y")</f>
        <v>7.0533999999999999</v>
      </c>
      <c r="O13" s="11" cm="1">
        <f t="array" ref="O13">_xll.BDH("SPX Index","RETURN_ON_CAP","CY 2019","CY 2019","Currency=USD","Period=CY","FUND_PER=Y","BEST_FPERIOD_OVERRIDE=1GY","FA_ADJUSTED=GAAP","Sort=A","Dates=H","DateFormat=P","Fill=—","Direction=H","UseDPDF=Y")</f>
        <v>6.6904000000000003</v>
      </c>
      <c r="P13" s="11" cm="1">
        <f t="array" ref="P13">_xll.BDH("SPX Index","RETURN_ON_CAP","CY 2020","CY 2020","Currency=USD","Period=CY","FUND_PER=Y","BEST_FPERIOD_OVERRIDE=1GY","FA_ADJUSTED=GAAP","Sort=A","Dates=H","DateFormat=P","Fill=—","Direction=H","UseDPDF=Y")</f>
        <v>4.8342000000000001</v>
      </c>
      <c r="Q13" s="11" cm="1">
        <f t="array" ref="Q13">_xll.BDH("SPX Index","RETURN_ON_CAP","CY 2021","CY 2021","Currency=USD","Period=CY","FUND_PER=Y","BEST_FPERIOD_OVERRIDE=1GY","FA_ADJUSTED=GAAP","Sort=A","Dates=H","DateFormat=P","Fill=—","Direction=H","UseDPDF=Y")</f>
        <v>8.2045999999999992</v>
      </c>
      <c r="R13" s="11" cm="1">
        <f t="array" ref="R13">_xll.BDH("SPX Index","RETURN_ON_CAP","CY 2022","CY 2022","Currency=USD","Period=CY","FUND_PER=Y","BEST_FPERIOD_OVERRIDE=1GY","FA_ADJUSTED=GAAP","Sort=A","Dates=H","DateFormat=P","Fill=—","Direction=H","UseDPDF=Y")</f>
        <v>8.5707000000000004</v>
      </c>
      <c r="S13" s="11" cm="1">
        <f t="array" ref="S13">_xll.BDH("SPX Index","RETURN_ON_CAP","CY 2023","CY 2023","Currency=USD","Period=CY","FUND_PER=Y","BEST_FPERIOD_OVERRIDE=1GY","FA_ADJUSTED=GAAP","Sort=A","Dates=H","DateFormat=P","Fill=—","Direction=H","UseDPDF=Y")</f>
        <v>7.8620999999999999</v>
      </c>
      <c r="T13" s="11" cm="1">
        <f t="array" ref="T13">_xll.BDH("SPX Index","RETURN_ON_CAP","CY 2024","CY 2024","Currency=USD","Period=CY","FUND_PER=Y","BEST_FPERIOD_OVERRIDE=1GY","FA_ADJUSTED=GAAP","Sort=A","Dates=H","DateFormat=P","Fill=—","Direction=H","UseDPDF=Y")</f>
        <v>7.7973999999999997</v>
      </c>
      <c r="U13" s="11"/>
      <c r="V13" s="11"/>
    </row>
    <row r="14" spans="1:2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9" t="s">
        <v>56</v>
      </c>
      <c r="B15" s="9" t="s">
        <v>57</v>
      </c>
      <c r="C15" s="11" cm="1">
        <f t="array" ref="C15">_xll.BDH("SPX Index","DVD_PAYOUT_RATIO","CY 2007","CY 2007","Currency=USD","Period=CY","FUND_PER=Y","BEST_FPERIOD_OVERRIDE=1GY","FA_ADJUSTED=GAAP","Sort=A","Dates=H","DateFormat=P","Fill=—","Direction=H","UseDPDF=Y")</f>
        <v>33.893000000000001</v>
      </c>
      <c r="D15" s="11" cm="1">
        <f t="array" ref="D15">_xll.BDH("SPX Index","DVD_PAYOUT_RATIO","CY 2008","CY 2008","Currency=USD","Period=CY","FUND_PER=Y","BEST_FPERIOD_OVERRIDE=1GY","FA_ADJUSTED=GAAP","Sort=A","Dates=H","DateFormat=P","Fill=—","Direction=H","UseDPDF=Y")</f>
        <v>49.026899999999998</v>
      </c>
      <c r="E15" s="11" cm="1">
        <f t="array" ref="E15">_xll.BDH("SPX Index","DVD_PAYOUT_RATIO","CY 2009","CY 2009","Currency=USD","Period=CY","FUND_PER=Y","BEST_FPERIOD_OVERRIDE=1GY","FA_ADJUSTED=GAAP","Sort=A","Dates=H","DateFormat=P","Fill=—","Direction=H","UseDPDF=Y")</f>
        <v>88.548599999999993</v>
      </c>
      <c r="F15" s="11" cm="1">
        <f t="array" ref="F15">_xll.BDH("SPX Index","DVD_PAYOUT_RATIO","CY 2010","CY 2010","Currency=USD","Period=CY","FUND_PER=Y","BEST_FPERIOD_OVERRIDE=1GY","FA_ADJUSTED=GAAP","Sort=A","Dates=H","DateFormat=P","Fill=—","Direction=H","UseDPDF=Y")</f>
        <v>31.271000000000001</v>
      </c>
      <c r="G15" s="11" cm="1">
        <f t="array" ref="G15">_xll.BDH("SPX Index","DVD_PAYOUT_RATIO","CY 2011","CY 2011","Currency=USD","Period=CY","FUND_PER=Y","BEST_FPERIOD_OVERRIDE=1GY","FA_ADJUSTED=GAAP","Sort=A","Dates=H","DateFormat=P","Fill=—","Direction=H","UseDPDF=Y")</f>
        <v>29.849299999999999</v>
      </c>
      <c r="H15" s="11" cm="1">
        <f t="array" ref="H15">_xll.BDH("SPX Index","DVD_PAYOUT_RATIO","CY 2012","CY 2012","Currency=USD","Period=CY","FUND_PER=Y","BEST_FPERIOD_OVERRIDE=1GY","FA_ADJUSTED=GAAP","Sort=A","Dates=H","DateFormat=P","Fill=—","Direction=H","UseDPDF=Y")</f>
        <v>33.967799999999997</v>
      </c>
      <c r="I15" s="11" cm="1">
        <f t="array" ref="I15">_xll.BDH("SPX Index","DVD_PAYOUT_RATIO","CY 2013","CY 2013","Currency=USD","Period=CY","FUND_PER=Y","BEST_FPERIOD_OVERRIDE=1GY","FA_ADJUSTED=GAAP","Sort=A","Dates=H","DateFormat=P","Fill=—","Direction=H","UseDPDF=Y")</f>
        <v>36.888500000000001</v>
      </c>
      <c r="J15" s="11" cm="1">
        <f t="array" ref="J15">_xll.BDH("SPX Index","DVD_PAYOUT_RATIO","CY 2014","CY 2014","Currency=USD","Period=CY","FUND_PER=Y","BEST_FPERIOD_OVERRIDE=1GY","FA_ADJUSTED=GAAP","Sort=A","Dates=H","DateFormat=P","Fill=—","Direction=H","UseDPDF=Y")</f>
        <v>35.990400000000001</v>
      </c>
      <c r="K15" s="11" cm="1">
        <f t="array" ref="K15">_xll.BDH("SPX Index","DVD_PAYOUT_RATIO","CY 2015","CY 2015","Currency=USD","Period=CY","FUND_PER=Y","BEST_FPERIOD_OVERRIDE=1GY","FA_ADJUSTED=GAAP","Sort=A","Dates=H","DateFormat=P","Fill=—","Direction=H","UseDPDF=Y")</f>
        <v>47.585000000000001</v>
      </c>
      <c r="L15" s="11" cm="1">
        <f t="array" ref="L15">_xll.BDH("SPX Index","DVD_PAYOUT_RATIO","CY 2016","CY 2016","Currency=USD","Period=CY","FUND_PER=Y","BEST_FPERIOD_OVERRIDE=1GY","FA_ADJUSTED=GAAP","Sort=A","Dates=H","DateFormat=P","Fill=—","Direction=H","UseDPDF=Y")</f>
        <v>49.710099999999997</v>
      </c>
      <c r="M15" s="11" cm="1">
        <f t="array" ref="M15">_xll.BDH("SPX Index","DVD_PAYOUT_RATIO","CY 2017","CY 2017","Currency=USD","Period=CY","FUND_PER=Y","BEST_FPERIOD_OVERRIDE=1GY","FA_ADJUSTED=GAAP","Sort=A","Dates=H","DateFormat=P","Fill=—","Direction=H","UseDPDF=Y")</f>
        <v>45.506799999999998</v>
      </c>
      <c r="N15" s="11" cm="1">
        <f t="array" ref="N15">_xll.BDH("SPX Index","DVD_PAYOUT_RATIO","CY 2018","CY 2018","Currency=USD","Period=CY","FUND_PER=Y","BEST_FPERIOD_OVERRIDE=1GY","FA_ADJUSTED=GAAP","Sort=A","Dates=H","DateFormat=P","Fill=—","Direction=H","UseDPDF=Y")</f>
        <v>43.4435</v>
      </c>
      <c r="O15" s="11" cm="1">
        <f t="array" ref="O15">_xll.BDH("SPX Index","DVD_PAYOUT_RATIO","CY 2019","CY 2019","Currency=USD","Period=CY","FUND_PER=Y","BEST_FPERIOD_OVERRIDE=1GY","FA_ADJUSTED=GAAP","Sort=A","Dates=H","DateFormat=P","Fill=—","Direction=H","UseDPDF=Y")</f>
        <v>43.174599999999998</v>
      </c>
      <c r="P15" s="11" cm="1">
        <f t="array" ref="P15">_xll.BDH("SPX Index","DVD_PAYOUT_RATIO","CY 2020","CY 2020","Currency=USD","Period=CY","FUND_PER=Y","BEST_FPERIOD_OVERRIDE=1GY","FA_ADJUSTED=GAAP","Sort=A","Dates=H","DateFormat=P","Fill=—","Direction=H","UseDPDF=Y")</f>
        <v>58.858899999999998</v>
      </c>
      <c r="Q15" s="11" cm="1">
        <f t="array" ref="Q15">_xll.BDH("SPX Index","DVD_PAYOUT_RATIO","CY 2021","CY 2021","Currency=USD","Period=CY","FUND_PER=Y","BEST_FPERIOD_OVERRIDE=1GY","FA_ADJUSTED=GAAP","Sort=A","Dates=H","DateFormat=P","Fill=—","Direction=H","UseDPDF=Y")</f>
        <v>33.634700000000002</v>
      </c>
      <c r="R15" s="11" cm="1">
        <f t="array" ref="R15">_xll.BDH("SPX Index","DVD_PAYOUT_RATIO","CY 2022","CY 2022","Currency=USD","Period=CY","FUND_PER=Y","BEST_FPERIOD_OVERRIDE=1GY","FA_ADJUSTED=GAAP","Sort=A","Dates=H","DateFormat=P","Fill=—","Direction=H","UseDPDF=Y")</f>
        <v>35.091700000000003</v>
      </c>
      <c r="S15" s="11" cm="1">
        <f t="array" ref="S15">_xll.BDH("SPX Index","DVD_PAYOUT_RATIO","CY 2023","CY 2023","Currency=USD","Period=CY","FUND_PER=Y","BEST_FPERIOD_OVERRIDE=1GY","FA_ADJUSTED=GAAP","Sort=A","Dates=H","DateFormat=P","Fill=—","Direction=H","UseDPDF=Y")</f>
        <v>36.6267</v>
      </c>
      <c r="T15" s="11" cm="1">
        <f t="array" ref="T15">_xll.BDH("SPX Index","DVD_PAYOUT_RATIO","CY 2024","CY 2024","Currency=USD","Period=CY","FUND_PER=Y","BEST_FPERIOD_OVERRIDE=1GY","FA_ADJUSTED=GAAP","Sort=A","Dates=H","DateFormat=P","Fill=—","Direction=H","UseDPDF=Y")</f>
        <v>37.22</v>
      </c>
      <c r="U15" s="11"/>
      <c r="V15" s="11"/>
    </row>
    <row r="16" spans="1:22">
      <c r="A16" s="9" t="s">
        <v>58</v>
      </c>
      <c r="B16" s="9" t="s">
        <v>59</v>
      </c>
      <c r="C16" s="11" cm="1">
        <f t="array" ref="C16">_xll.BDH("SPX Index","ACTUAL_SALES_PER_EMPL","CY 2007","CY 2007","Currency=USD","Period=CY","FUND_PER=Y","BEST_FPERIOD_OVERRIDE=1GY","FA_ADJUSTED=GAAP","Sort=A","Dates=H","DateFormat=P","Fill=—","Direction=H","UseDPDF=Y")</f>
        <v>426206.93440000003</v>
      </c>
      <c r="D16" s="11" cm="1">
        <f t="array" ref="D16">_xll.BDH("SPX Index","ACTUAL_SALES_PER_EMPL","CY 2008","CY 2008","Currency=USD","Period=CY","FUND_PER=Y","BEST_FPERIOD_OVERRIDE=1GY","FA_ADJUSTED=GAAP","Sort=A","Dates=H","DateFormat=P","Fill=—","Direction=H","UseDPDF=Y")</f>
        <v>444485.98330000002</v>
      </c>
      <c r="E16" s="11" cm="1">
        <f t="array" ref="E16">_xll.BDH("SPX Index","ACTUAL_SALES_PER_EMPL","CY 2009","CY 2009","Currency=USD","Period=CY","FUND_PER=Y","BEST_FPERIOD_OVERRIDE=1GY","FA_ADJUSTED=GAAP","Sort=A","Dates=H","DateFormat=P","Fill=—","Direction=H","UseDPDF=Y")</f>
        <v>397722.60930000001</v>
      </c>
      <c r="F16" s="11" cm="1">
        <f t="array" ref="F16">_xll.BDH("SPX Index","ACTUAL_SALES_PER_EMPL","CY 2010","CY 2010","Currency=USD","Period=CY","FUND_PER=Y","BEST_FPERIOD_OVERRIDE=1GY","FA_ADJUSTED=GAAP","Sort=A","Dates=H","DateFormat=P","Fill=—","Direction=H","UseDPDF=Y")</f>
        <v>413454.74690000003</v>
      </c>
      <c r="G16" s="11" cm="1">
        <f t="array" ref="G16">_xll.BDH("SPX Index","ACTUAL_SALES_PER_EMPL","CY 2011","CY 2011","Currency=USD","Period=CY","FUND_PER=Y","BEST_FPERIOD_OVERRIDE=1GY","FA_ADJUSTED=GAAP","Sort=A","Dates=H","DateFormat=P","Fill=—","Direction=H","UseDPDF=Y")</f>
        <v>443721.09250000003</v>
      </c>
      <c r="H16" s="11" cm="1">
        <f t="array" ref="H16">_xll.BDH("SPX Index","ACTUAL_SALES_PER_EMPL","CY 2012","CY 2012","Currency=USD","Period=CY","FUND_PER=Y","BEST_FPERIOD_OVERRIDE=1GY","FA_ADJUSTED=GAAP","Sort=A","Dates=H","DateFormat=P","Fill=—","Direction=H","UseDPDF=Y")</f>
        <v>445564.82620000001</v>
      </c>
      <c r="I16" s="11" cm="1">
        <f t="array" ref="I16">_xll.BDH("SPX Index","ACTUAL_SALES_PER_EMPL","CY 2013","CY 2013","Currency=USD","Period=CY","FUND_PER=Y","BEST_FPERIOD_OVERRIDE=1GY","FA_ADJUSTED=GAAP","Sort=A","Dates=H","DateFormat=P","Fill=—","Direction=H","UseDPDF=Y")</f>
        <v>453899.6776</v>
      </c>
      <c r="J16" s="11" cm="1">
        <f t="array" ref="J16">_xll.BDH("SPX Index","ACTUAL_SALES_PER_EMPL","CY 2014","CY 2014","Currency=USD","Period=CY","FUND_PER=Y","BEST_FPERIOD_OVERRIDE=1GY","FA_ADJUSTED=GAAP","Sort=A","Dates=H","DateFormat=P","Fill=—","Direction=H","UseDPDF=Y")</f>
        <v>461326.1912</v>
      </c>
      <c r="K16" s="11" cm="1">
        <f t="array" ref="K16">_xll.BDH("SPX Index","ACTUAL_SALES_PER_EMPL","CY 2015","CY 2015","Currency=USD","Period=CY","FUND_PER=Y","BEST_FPERIOD_OVERRIDE=1GY","FA_ADJUSTED=GAAP","Sort=A","Dates=H","DateFormat=P","Fill=—","Direction=H","UseDPDF=Y")</f>
        <v>441074.10769999999</v>
      </c>
      <c r="L16" s="11" cm="1">
        <f t="array" ref="L16">_xll.BDH("SPX Index","ACTUAL_SALES_PER_EMPL","CY 2016","CY 2016","Currency=USD","Period=CY","FUND_PER=Y","BEST_FPERIOD_OVERRIDE=1GY","FA_ADJUSTED=GAAP","Sort=A","Dates=H","DateFormat=P","Fill=—","Direction=H","UseDPDF=Y")</f>
        <v>436800.7781</v>
      </c>
      <c r="M16" s="11" cm="1">
        <f t="array" ref="M16">_xll.BDH("SPX Index","ACTUAL_SALES_PER_EMPL","CY 2017","CY 2017","Currency=USD","Period=CY","FUND_PER=Y","BEST_FPERIOD_OVERRIDE=1GY","FA_ADJUSTED=GAAP","Sort=A","Dates=H","DateFormat=P","Fill=—","Direction=H","UseDPDF=Y")</f>
        <v>446858.26400000002</v>
      </c>
      <c r="N16" s="11" cm="1">
        <f t="array" ref="N16">_xll.BDH("SPX Index","ACTUAL_SALES_PER_EMPL","CY 2018","CY 2018","Currency=USD","Period=CY","FUND_PER=Y","BEST_FPERIOD_OVERRIDE=1GY","FA_ADJUSTED=GAAP","Sort=A","Dates=H","DateFormat=P","Fill=—","Direction=H","UseDPDF=Y")</f>
        <v>493819.788</v>
      </c>
      <c r="O16" s="11" cm="1">
        <f t="array" ref="O16">_xll.BDH("SPX Index","ACTUAL_SALES_PER_EMPL","CY 2019","CY 2019","Currency=USD","Period=CY","FUND_PER=Y","BEST_FPERIOD_OVERRIDE=1GY","FA_ADJUSTED=GAAP","Sort=A","Dates=H","DateFormat=P","Fill=—","Direction=H","UseDPDF=Y")</f>
        <v>492372.62</v>
      </c>
      <c r="P16" s="11" cm="1">
        <f t="array" ref="P16">_xll.BDH("SPX Index","ACTUAL_SALES_PER_EMPL","CY 2020","CY 2020","Currency=USD","Period=CY","FUND_PER=Y","BEST_FPERIOD_OVERRIDE=1GY","FA_ADJUSTED=GAAP","Sort=A","Dates=H","DateFormat=P","Fill=—","Direction=H","UseDPDF=Y")</f>
        <v>474011.58299999998</v>
      </c>
      <c r="Q16" s="11" cm="1">
        <f t="array" ref="Q16">_xll.BDH("SPX Index","ACTUAL_SALES_PER_EMPL","CY 2021","CY 2021","Currency=USD","Period=CY","FUND_PER=Y","BEST_FPERIOD_OVERRIDE=1GY","FA_ADJUSTED=GAAP","Sort=A","Dates=H","DateFormat=P","Fill=—","Direction=H","UseDPDF=Y")</f>
        <v>515361.12680000003</v>
      </c>
      <c r="R16" s="11" cm="1">
        <f t="array" ref="R16">_xll.BDH("SPX Index","ACTUAL_SALES_PER_EMPL","CY 2022","CY 2022","Currency=USD","Period=CY","FUND_PER=Y","BEST_FPERIOD_OVERRIDE=1GY","FA_ADJUSTED=GAAP","Sort=A","Dates=H","DateFormat=P","Fill=—","Direction=H","UseDPDF=Y")</f>
        <v>561013.01340000005</v>
      </c>
      <c r="S16" s="11" cm="1">
        <f t="array" ref="S16">_xll.BDH("SPX Index","ACTUAL_SALES_PER_EMPL","CY 2023","CY 2023","Currency=USD","Period=CY","FUND_PER=Y","BEST_FPERIOD_OVERRIDE=1GY","FA_ADJUSTED=GAAP","Sort=A","Dates=H","DateFormat=P","Fill=—","Direction=H","UseDPDF=Y")</f>
        <v>594312.72629999998</v>
      </c>
      <c r="T16" s="11" cm="1">
        <f t="array" ref="T16">_xll.BDH("SPX Index","ACTUAL_SALES_PER_EMPL","CY 2024","CY 2024","Currency=USD","Period=CY","FUND_PER=Y","BEST_FPERIOD_OVERRIDE=1GY","FA_ADJUSTED=GAAP","Sort=A","Dates=H","DateFormat=P","Fill=—","Direction=H","UseDPDF=Y")</f>
        <v>629862.26049999997</v>
      </c>
      <c r="U16" s="11"/>
      <c r="V16" s="11"/>
    </row>
    <row r="17" spans="1:22">
      <c r="A17" s="6" t="s">
        <v>60</v>
      </c>
      <c r="B17" s="6"/>
      <c r="C17" s="6" t="s">
        <v>61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2025-12-04T18:40:06Z</dcterms:modified>
  <cp:category/>
  <cp:contentStatus/>
</cp:coreProperties>
</file>